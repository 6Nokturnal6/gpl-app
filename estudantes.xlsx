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studante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<sst xmlns="http://schemas.openxmlformats.org/spreadsheetml/2006/main" count="1833" uniqueCount="1186">
  <si>
    <t xml:space="preserve">FOLHAS DE CALCULO PARA A REPORTAGEM DE ESTATISTICA DAS IES PARA O ANO: CALENDÁRIO 2024</t>
  </si>
  <si>
    <t xml:space="preserve">1. ESTATÍSTICA SOBRE CORPO DISCENTE</t>
  </si>
  <si>
    <t xml:space="preserve">Quadro 1.1 Número de Estudantes que procuram o Ensino Superior</t>
  </si>
  <si>
    <t xml:space="preserve">Nome do curso</t>
  </si>
  <si>
    <t xml:space="preserve">***Duração (anos)</t>
  </si>
  <si>
    <t xml:space="preserve">ISCED 2013</t>
  </si>
  <si>
    <t xml:space="preserve">Regime-Curso</t>
  </si>
  <si>
    <t xml:space="preserve">Nacionalidadde</t>
  </si>
  <si>
    <t xml:space="preserve">Província**</t>
  </si>
  <si>
    <t xml:space="preserve">Distrito*</t>
  </si>
  <si>
    <t xml:space="preserve"> Grau </t>
  </si>
  <si>
    <t xml:space="preserve">Estudantes que procuram o ES</t>
  </si>
  <si>
    <t xml:space="preserve">Controlo</t>
  </si>
  <si>
    <t xml:space="preserve">Áreas</t>
  </si>
  <si>
    <t xml:space="preserve">Sub-áreas</t>
  </si>
  <si>
    <t xml:space="preserve">Homens</t>
  </si>
  <si>
    <t xml:space="preserve">Mulheres </t>
  </si>
  <si>
    <t xml:space="preserve">Total</t>
  </si>
  <si>
    <t xml:space="preserve">Ingr&lt;Matr</t>
  </si>
  <si>
    <t xml:space="preserve">Curso1</t>
  </si>
  <si>
    <t xml:space="preserve">Curso2</t>
  </si>
  <si>
    <t xml:space="preserve">Curso3</t>
  </si>
  <si>
    <t xml:space="preserve">Curso4</t>
  </si>
  <si>
    <t xml:space="preserve">Curso5</t>
  </si>
  <si>
    <t xml:space="preserve">Curso6</t>
  </si>
  <si>
    <t xml:space="preserve">Curso7</t>
  </si>
  <si>
    <t xml:space="preserve">Curso8</t>
  </si>
  <si>
    <t xml:space="preserve">Curso9</t>
  </si>
  <si>
    <t xml:space="preserve">Curso10</t>
  </si>
  <si>
    <t xml:space="preserve">Curso11</t>
  </si>
  <si>
    <t xml:space="preserve">Curso12</t>
  </si>
  <si>
    <t xml:space="preserve">Curso13</t>
  </si>
  <si>
    <t xml:space="preserve">Curso14</t>
  </si>
  <si>
    <t xml:space="preserve">Curso15</t>
  </si>
  <si>
    <t xml:space="preserve">Curso16</t>
  </si>
  <si>
    <t xml:space="preserve">Curso17</t>
  </si>
  <si>
    <t xml:space="preserve">Curso18</t>
  </si>
  <si>
    <t xml:space="preserve">Curso19</t>
  </si>
  <si>
    <t xml:space="preserve">Curso20</t>
  </si>
  <si>
    <t xml:space="preserve">Curso21</t>
  </si>
  <si>
    <t xml:space="preserve">Curso22</t>
  </si>
  <si>
    <t xml:space="preserve">Curso23</t>
  </si>
  <si>
    <t xml:space="preserve">Curso24</t>
  </si>
  <si>
    <t xml:space="preserve">Curso25</t>
  </si>
  <si>
    <t xml:space="preserve">Curso26</t>
  </si>
  <si>
    <t xml:space="preserve">Curso27</t>
  </si>
  <si>
    <t xml:space="preserve">Curso28</t>
  </si>
  <si>
    <t xml:space="preserve">Curso29</t>
  </si>
  <si>
    <t xml:space="preserve">Curso30</t>
  </si>
  <si>
    <t xml:space="preserve">Curso31</t>
  </si>
  <si>
    <t xml:space="preserve">Curso32</t>
  </si>
  <si>
    <t xml:space="preserve">Curso33</t>
  </si>
  <si>
    <t xml:space="preserve">Curso34</t>
  </si>
  <si>
    <t xml:space="preserve">Curso35</t>
  </si>
  <si>
    <t xml:space="preserve">Curso36</t>
  </si>
  <si>
    <t xml:space="preserve">Curso37</t>
  </si>
  <si>
    <t xml:space="preserve">Curso38</t>
  </si>
  <si>
    <t xml:space="preserve">Curso39</t>
  </si>
  <si>
    <t xml:space="preserve">Curso40</t>
  </si>
  <si>
    <t xml:space="preserve">Curso41</t>
  </si>
  <si>
    <t xml:space="preserve">Curso42</t>
  </si>
  <si>
    <t xml:space="preserve">Curso43</t>
  </si>
  <si>
    <t xml:space="preserve">Curso44</t>
  </si>
  <si>
    <t xml:space="preserve">Curso45</t>
  </si>
  <si>
    <t xml:space="preserve">Curso46</t>
  </si>
  <si>
    <t xml:space="preserve">Curso47</t>
  </si>
  <si>
    <t xml:space="preserve">Curso48</t>
  </si>
  <si>
    <t xml:space="preserve">Curso49</t>
  </si>
  <si>
    <t xml:space="preserve">Curso50</t>
  </si>
  <si>
    <t xml:space="preserve">Este quadro recolhe dados de estuantes que fizeram exames de admissão para casos aplicáveis, como também os que de alguma forma fizeram candidaturas ou inscrições de ingresso ou manifestaram interesse de ingressar ou algo semelhante, independente de ter ingressado ou não na IES, ou seja, inclui os novos ingressos e os não ingressados, mas que manifestaram-se para o efeito.</t>
  </si>
  <si>
    <t xml:space="preserve">*Local onde funciona o curso. Se o curso do mesmo nome funciona em mais de um locais, peencha em linhas separadas</t>
  </si>
  <si>
    <t xml:space="preserve">**Os campos Província e distrito somente para nacionais</t>
  </si>
  <si>
    <t xml:space="preserve">*** Duração do curso, o número de anos que o curso é lecionado</t>
  </si>
  <si>
    <t xml:space="preserve">Quadro 1.2 Número de vagas preenchidas</t>
  </si>
  <si>
    <t xml:space="preserve"> Regime-Curso</t>
  </si>
  <si>
    <t xml:space="preserve">Grau </t>
  </si>
  <si>
    <t xml:space="preserve">N.o de vagas  </t>
  </si>
  <si>
    <t xml:space="preserve">Preenchidas</t>
  </si>
  <si>
    <t xml:space="preserve">Nao Preenchidas</t>
  </si>
  <si>
    <t xml:space="preserve">Este quadro recolhe dados sobre as vagas preenchidas como também vagas não preenchidas que a IES havia disponibilizado para o ano em referencia, sem descriminar o sexo dos estudantes. </t>
  </si>
  <si>
    <t xml:space="preserve">Quadro 1.3. Número de Estudantes Novos Ingresso,  Matriculdados, Graduados por Grau, Sexo e  Cursos em Funcionamento no ano académico 2024</t>
  </si>
  <si>
    <t xml:space="preserve">**Duração (anos)</t>
  </si>
  <si>
    <t xml:space="preserve">Província</t>
  </si>
  <si>
    <t xml:space="preserve">Novos Ingressos</t>
  </si>
  <si>
    <t xml:space="preserve">Matriculados</t>
  </si>
  <si>
    <t xml:space="preserve">Graduados</t>
  </si>
  <si>
    <t xml:space="preserve">Ingr&lt;Matricula</t>
  </si>
  <si>
    <t xml:space="preserve">Curso51</t>
  </si>
  <si>
    <t xml:space="preserve">Este quadro recolhe dados sobre novos ingressos, Matriculados e graduados. São novos ingresso os estudantes que frequentaram a IES pela primeira vez; são matriculados os estudantes que estão vinculados com a IES que ainda não terminaram as suas formações; são graduados os estudantes que cumpriram com a formato de culminação de curso, podendo ser por monografia, dissertação, tese, simulação, exame de estagio ou outra fora de culminação de curso, podendo ter participado ou não na cerimonia de graduação. </t>
  </si>
  <si>
    <t xml:space="preserve">** Duração do curso, o número de anos que o curso é lecionado</t>
  </si>
  <si>
    <t xml:space="preserve">Quadro 1.4 Número de Novos Ingressos, Matriculados e Graduados por Nacionalidade e sexo</t>
  </si>
  <si>
    <t xml:space="preserve">Estudantes</t>
  </si>
  <si>
    <t xml:space="preserve">Nacionalidade</t>
  </si>
  <si>
    <t xml:space="preserve">Todos</t>
  </si>
  <si>
    <t xml:space="preserve">Novos Ingressos, Matriculados e Graduados </t>
  </si>
  <si>
    <t xml:space="preserve">Moçambicana</t>
  </si>
  <si>
    <t xml:space="preserve">Estrangeira</t>
  </si>
  <si>
    <t xml:space="preserve">Por nacionalidade</t>
  </si>
  <si>
    <t xml:space="preserve">Mulheres</t>
  </si>
  <si>
    <t xml:space="preserve">Quadro 1.5 - Número de Estudantes Estrangeiros, Novos Ingressos, Matriculados e Graduados por Curso, Grau e Sexo</t>
  </si>
  <si>
    <t xml:space="preserve">*País de proveniência</t>
  </si>
  <si>
    <t xml:space="preserve">Grau</t>
  </si>
  <si>
    <t xml:space="preserve">Areas</t>
  </si>
  <si>
    <t xml:space="preserve">Sub-areas</t>
  </si>
  <si>
    <t xml:space="preserve">Controle</t>
  </si>
  <si>
    <t xml:space="preserve">* O País da proveniência do Estudante, </t>
  </si>
  <si>
    <t xml:space="preserve">Se os estudantes frequentam o mesmo curso e grau e são proveniente de países diferentes preencha em linhas separadas</t>
  </si>
  <si>
    <t xml:space="preserve">Quadro 1.6. Número de Estudantes com Necessidades Especiais por Curso, Grau e Sexo</t>
  </si>
  <si>
    <t xml:space="preserve">Distrito</t>
  </si>
  <si>
    <t xml:space="preserve">Cadeirantes</t>
  </si>
  <si>
    <t xml:space="preserve">Visual</t>
  </si>
  <si>
    <t xml:space="preserve">Auditiva</t>
  </si>
  <si>
    <t xml:space="preserve">Outros</t>
  </si>
  <si>
    <t xml:space="preserve">NºOrd</t>
  </si>
  <si>
    <t xml:space="preserve">Licenciatura</t>
  </si>
  <si>
    <t xml:space="preserve">Mestrado</t>
  </si>
  <si>
    <t xml:space="preserve">Doutoramento</t>
  </si>
  <si>
    <t xml:space="preserve">Pós - Graduação</t>
  </si>
  <si>
    <t xml:space="preserve">Diploma de Especialização</t>
  </si>
  <si>
    <t xml:space="preserve">Necessidades Educativas Especiais (NEE) são dificuldades que podem afetar o processo de aprendizagem e participação académica de um estudante. Estas dificuldades podem ser causadas por fatores ambientais ou limitações físicas, visuais, auditivas, mentais ou de saúde.</t>
  </si>
  <si>
    <t xml:space="preserve">* Local onde funciona o curso. Se o curso funciona em mais que uma cidade peencha em linhas separadas</t>
  </si>
  <si>
    <t xml:space="preserve">CidadeMaputo</t>
  </si>
  <si>
    <t xml:space="preserve">Distrito KaMpfumu</t>
  </si>
  <si>
    <t xml:space="preserve">Código</t>
  </si>
  <si>
    <t xml:space="preserve">Continente</t>
  </si>
  <si>
    <t xml:space="preserve">País</t>
  </si>
  <si>
    <t xml:space="preserve">Grau Curta duração</t>
  </si>
  <si>
    <t xml:space="preserve">Distrito KaMaxakeni</t>
  </si>
  <si>
    <t xml:space="preserve">Angola</t>
  </si>
  <si>
    <t xml:space="preserve">Artes e Humanidades</t>
  </si>
  <si>
    <t xml:space="preserve">Certificação</t>
  </si>
  <si>
    <t xml:space="preserve">Artes</t>
  </si>
  <si>
    <t xml:space="preserve">Quadro 1.7. Número de Estudantes com Outras Necessidades Especiais não especificadas no quandro 1,6  por Curso, Grau e Sexo</t>
  </si>
  <si>
    <t xml:space="preserve">Distrito KaMavota</t>
  </si>
  <si>
    <t xml:space="preserve">Argélia</t>
  </si>
  <si>
    <t xml:space="preserve">Ciências Sociais, Jornalismo e Informação</t>
  </si>
  <si>
    <t xml:space="preserve">Cidade de Maputo</t>
  </si>
  <si>
    <t xml:space="preserve">Humanidades</t>
  </si>
  <si>
    <t xml:space="preserve">Tipo de Necessidade</t>
  </si>
  <si>
    <t xml:space="preserve">Distrito KaMubukwana</t>
  </si>
  <si>
    <t xml:space="preserve">Benim</t>
  </si>
  <si>
    <t xml:space="preserve">Negócios, Administração e Direito</t>
  </si>
  <si>
    <t xml:space="preserve">Maputo Província</t>
  </si>
  <si>
    <t xml:space="preserve">Pós-Graduação</t>
  </si>
  <si>
    <t xml:space="preserve">Línguas</t>
  </si>
  <si>
    <t xml:space="preserve">Distrito KaTembe</t>
  </si>
  <si>
    <t xml:space="preserve">Botswana</t>
  </si>
  <si>
    <t xml:space="preserve">Ciências Naturais, Matemática e Estatística</t>
  </si>
  <si>
    <t xml:space="preserve">Gaza</t>
  </si>
  <si>
    <t xml:space="preserve">Ciências Sociais e Comportamentais</t>
  </si>
  <si>
    <t xml:space="preserve">Distrito KaNyaka</t>
  </si>
  <si>
    <t xml:space="preserve">Burquina Faso</t>
  </si>
  <si>
    <t xml:space="preserve">Tecnologias da Informação e Comunicação</t>
  </si>
  <si>
    <t xml:space="preserve">Inhambane</t>
  </si>
  <si>
    <t xml:space="preserve">Jornalismo e Informação</t>
  </si>
  <si>
    <t xml:space="preserve">ProvínciaMaputo </t>
  </si>
  <si>
    <t xml:space="preserve">Matutuine</t>
  </si>
  <si>
    <t xml:space="preserve">Burundi</t>
  </si>
  <si>
    <t xml:space="preserve">Engenharia, Produção e Construção</t>
  </si>
  <si>
    <t xml:space="preserve">Sofala</t>
  </si>
  <si>
    <t xml:space="preserve">Negócios e Administração</t>
  </si>
  <si>
    <t xml:space="preserve">Namaacha</t>
  </si>
  <si>
    <t xml:space="preserve">Camarões</t>
  </si>
  <si>
    <t xml:space="preserve">Agricultura, recursos florestais,  pesqueiros e veterinária</t>
  </si>
  <si>
    <t xml:space="preserve">Manica</t>
  </si>
  <si>
    <t xml:space="preserve">Duração</t>
  </si>
  <si>
    <t xml:space="preserve">Direito</t>
  </si>
  <si>
    <t xml:space="preserve">Boane</t>
  </si>
  <si>
    <t xml:space="preserve">Chade</t>
  </si>
  <si>
    <t xml:space="preserve">Saúde e Bem-Estar</t>
  </si>
  <si>
    <t xml:space="preserve">Tete</t>
  </si>
  <si>
    <t xml:space="preserve">Ciências Biológicas e Correlacionais</t>
  </si>
  <si>
    <t xml:space="preserve">Matola</t>
  </si>
  <si>
    <t xml:space="preserve">Costa do Marfim</t>
  </si>
  <si>
    <t xml:space="preserve">Serviços</t>
  </si>
  <si>
    <t xml:space="preserve">Zambézia</t>
  </si>
  <si>
    <t xml:space="preserve">Meio Ambiente</t>
  </si>
  <si>
    <t xml:space="preserve">Marracuene</t>
  </si>
  <si>
    <t xml:space="preserve">Djibouti</t>
  </si>
  <si>
    <t xml:space="preserve">Nampula</t>
  </si>
  <si>
    <t xml:space="preserve">Ciências físicas</t>
  </si>
  <si>
    <t xml:space="preserve">Moamba</t>
  </si>
  <si>
    <t xml:space="preserve">Egipto</t>
  </si>
  <si>
    <t xml:space="preserve">Lista de Cursos</t>
  </si>
  <si>
    <t xml:space="preserve">Cabo delgado</t>
  </si>
  <si>
    <t xml:space="preserve">Matemática e Estatística</t>
  </si>
  <si>
    <t xml:space="preserve">Manhiça</t>
  </si>
  <si>
    <t xml:space="preserve">Eritreia</t>
  </si>
  <si>
    <t xml:space="preserve">Accounting &amp; Auditing</t>
  </si>
  <si>
    <t xml:space="preserve">Niassa</t>
  </si>
  <si>
    <t xml:space="preserve">Magude</t>
  </si>
  <si>
    <t xml:space="preserve">Etiópia</t>
  </si>
  <si>
    <t xml:space="preserve">Actividade Física e Saúde</t>
  </si>
  <si>
    <t xml:space="preserve">*Outro (Fora do País)</t>
  </si>
  <si>
    <t xml:space="preserve">Engenharia e Profissões Correlatas</t>
  </si>
  <si>
    <t xml:space="preserve">Chongoene</t>
  </si>
  <si>
    <t xml:space="preserve">Gabão</t>
  </si>
  <si>
    <t xml:space="preserve">Administração de Sistemas de Informação e Redes</t>
  </si>
  <si>
    <t xml:space="preserve">Produção e Processamento</t>
  </si>
  <si>
    <t xml:space="preserve">Xai-Xai </t>
  </si>
  <si>
    <t xml:space="preserve">Gâmbia</t>
  </si>
  <si>
    <t xml:space="preserve">Administração e Gestão Aduaneira</t>
  </si>
  <si>
    <t xml:space="preserve">Arquitectura e Construção</t>
  </si>
  <si>
    <t xml:space="preserve">Necessidades especiaisNecessidades Educativas Especiais (NEE) são um conjunto de condições que podem afetar o processo de aprendizagem de um indivíduo, necessitando de recursos educativos específicos. </t>
  </si>
  <si>
    <t xml:space="preserve">Limpopo</t>
  </si>
  <si>
    <t xml:space="preserve">Gana</t>
  </si>
  <si>
    <t xml:space="preserve">Administração e Gestão de Educação</t>
  </si>
  <si>
    <t xml:space="preserve">Classe Idade</t>
  </si>
  <si>
    <t xml:space="preserve">Agricultura</t>
  </si>
  <si>
    <t xml:space="preserve">Mandlakazi</t>
  </si>
  <si>
    <t xml:space="preserve">Guiné-Bissau</t>
  </si>
  <si>
    <t xml:space="preserve">Administração e Gestão de Negócios</t>
  </si>
  <si>
    <t xml:space="preserve">Recursos Pesqueiros</t>
  </si>
  <si>
    <t xml:space="preserve">Chókwè</t>
  </si>
  <si>
    <t xml:space="preserve">Ilhas de Madagáscar</t>
  </si>
  <si>
    <t xml:space="preserve">Administração e Gestão Educacional</t>
  </si>
  <si>
    <t xml:space="preserve">Saúde</t>
  </si>
  <si>
    <t xml:space="preserve">Quadro 1.8. Número de Novos Ingressos, Matriculados e Graduados por Sexo e Província de conclusão da 12ª classe e ou Equivalência</t>
  </si>
  <si>
    <t xml:space="preserve">Guijá</t>
  </si>
  <si>
    <t xml:space="preserve">Ilhas de Cabo Verde</t>
  </si>
  <si>
    <t xml:space="preserve">Administração e Gestão Escolar</t>
  </si>
  <si>
    <t xml:space="preserve">Serviço Social e Orientação</t>
  </si>
  <si>
    <t xml:space="preserve">Provincia</t>
  </si>
  <si>
    <t xml:space="preserve">Chigubo</t>
  </si>
  <si>
    <t xml:space="preserve">Ilha de Comores </t>
  </si>
  <si>
    <t xml:space="preserve">Administração e Gestão Hospitalar</t>
  </si>
  <si>
    <t xml:space="preserve">Serviços Pessoais</t>
  </si>
  <si>
    <t xml:space="preserve">Mabalane</t>
  </si>
  <si>
    <t xml:space="preserve">Ilhas de São Tomé e Príncipe</t>
  </si>
  <si>
    <t xml:space="preserve">Administração e Políticas Públicas</t>
  </si>
  <si>
    <t xml:space="preserve">Higiene e Serviços de Saúde Ocupacional</t>
  </si>
  <si>
    <t xml:space="preserve">Massingir</t>
  </si>
  <si>
    <t xml:space="preserve">Ilhas Seychelles</t>
  </si>
  <si>
    <t xml:space="preserve">Administração e Recursos Humanos</t>
  </si>
  <si>
    <t xml:space="preserve">Xai-Xai</t>
  </si>
  <si>
    <t xml:space="preserve">Serviços de Segurança</t>
  </si>
  <si>
    <t xml:space="preserve">Mapai</t>
  </si>
  <si>
    <t xml:space="preserve">Lesoto</t>
  </si>
  <si>
    <t xml:space="preserve">Administração e Regulação Escolar</t>
  </si>
  <si>
    <t xml:space="preserve">Bilene</t>
  </si>
  <si>
    <t xml:space="preserve">Proteção de Pessoas e de Propriedades</t>
  </si>
  <si>
    <t xml:space="preserve">Chicualacuala</t>
  </si>
  <si>
    <t xml:space="preserve">Libéria</t>
  </si>
  <si>
    <t xml:space="preserve">Administração Financeira</t>
  </si>
  <si>
    <t xml:space="preserve">Chibuto</t>
  </si>
  <si>
    <t xml:space="preserve">Massangena</t>
  </si>
  <si>
    <t xml:space="preserve">Líbia</t>
  </si>
  <si>
    <t xml:space="preserve">Administração Penitenciária</t>
  </si>
  <si>
    <t xml:space="preserve">Zavala</t>
  </si>
  <si>
    <t xml:space="preserve">Malawi</t>
  </si>
  <si>
    <t xml:space="preserve">Administração Pública</t>
  </si>
  <si>
    <t xml:space="preserve">Inharrime</t>
  </si>
  <si>
    <t xml:space="preserve">Mali</t>
  </si>
  <si>
    <t xml:space="preserve">Administração Publica e Autárquica</t>
  </si>
  <si>
    <t xml:space="preserve">Maxixe</t>
  </si>
  <si>
    <t xml:space="preserve">Jangamo</t>
  </si>
  <si>
    <t xml:space="preserve">Marrocos</t>
  </si>
  <si>
    <t xml:space="preserve">Administração Pública e Desenvolvimento</t>
  </si>
  <si>
    <t xml:space="preserve">Morrumbene</t>
  </si>
  <si>
    <t xml:space="preserve">Mauritânia</t>
  </si>
  <si>
    <t xml:space="preserve">Administração Pública e Gestão</t>
  </si>
  <si>
    <t xml:space="preserve">Massinga</t>
  </si>
  <si>
    <t xml:space="preserve">Namíbia</t>
  </si>
  <si>
    <t xml:space="preserve">Administração Pública, Comércio e Finanças</t>
  </si>
  <si>
    <t xml:space="preserve">Vilankulo</t>
  </si>
  <si>
    <t xml:space="preserve">Homoíne</t>
  </si>
  <si>
    <t xml:space="preserve">Níger</t>
  </si>
  <si>
    <t xml:space="preserve">Agoeconomia e Extensão Agrária</t>
  </si>
  <si>
    <t xml:space="preserve">Búzi</t>
  </si>
  <si>
    <t xml:space="preserve">Panda</t>
  </si>
  <si>
    <t xml:space="preserve">Nigéria</t>
  </si>
  <si>
    <t xml:space="preserve">Agricultura comercial</t>
  </si>
  <si>
    <t xml:space="preserve">Beira</t>
  </si>
  <si>
    <t xml:space="preserve">Recursos Florestais</t>
  </si>
  <si>
    <t xml:space="preserve">Quénia</t>
  </si>
  <si>
    <t xml:space="preserve">Agricultura Sustentável</t>
  </si>
  <si>
    <t xml:space="preserve">Muanza</t>
  </si>
  <si>
    <t xml:space="preserve">República Centro-Africana</t>
  </si>
  <si>
    <t xml:space="preserve">Agro – Ecologia</t>
  </si>
  <si>
    <t xml:space="preserve">Gorongosa</t>
  </si>
  <si>
    <t xml:space="preserve">Veterinária</t>
  </si>
  <si>
    <t xml:space="preserve">Funhalouro</t>
  </si>
  <si>
    <t xml:space="preserve">República Democrática do Congo</t>
  </si>
  <si>
    <t xml:space="preserve">Agro - Pecuária</t>
  </si>
  <si>
    <t xml:space="preserve">Marromeu</t>
  </si>
  <si>
    <t xml:space="preserve">*Outro(Fora do Pais)</t>
  </si>
  <si>
    <t xml:space="preserve">República do Congo</t>
  </si>
  <si>
    <t xml:space="preserve">Agro-negócio</t>
  </si>
  <si>
    <t xml:space="preserve">Chimoio</t>
  </si>
  <si>
    <t xml:space="preserve">Este quadro recolhe dados de estudantes por província onde culminou o nível médio independentemente das suas origens </t>
  </si>
  <si>
    <t xml:space="preserve">Mabote</t>
  </si>
  <si>
    <t xml:space="preserve">República de Maurício</t>
  </si>
  <si>
    <t xml:space="preserve">Agronomia</t>
  </si>
  <si>
    <t xml:space="preserve">Vanduzi</t>
  </si>
  <si>
    <t xml:space="preserve">Quadro 1.9. Número de Novos Ingressos, Matriculados e Graduados por Sexo e Província de Naturalidade</t>
  </si>
  <si>
    <t xml:space="preserve">Inhassoro</t>
  </si>
  <si>
    <t xml:space="preserve">Ruanda</t>
  </si>
  <si>
    <t xml:space="preserve">Agro-Processamento</t>
  </si>
  <si>
    <t xml:space="preserve">Govuro</t>
  </si>
  <si>
    <t xml:space="preserve">Senegal</t>
  </si>
  <si>
    <t xml:space="preserve">Agroquimica e Meio Ambiente</t>
  </si>
  <si>
    <t xml:space="preserve">Machanga</t>
  </si>
  <si>
    <t xml:space="preserve">Serra Leoa</t>
  </si>
  <si>
    <t xml:space="preserve">Ambiente e Sustentabilidade Comunitária</t>
  </si>
  <si>
    <t xml:space="preserve">Cahora-Bassa</t>
  </si>
  <si>
    <t xml:space="preserve">Somália</t>
  </si>
  <si>
    <t xml:space="preserve">Análises Clínicas e Laboratoriais</t>
  </si>
  <si>
    <t xml:space="preserve">Angónia</t>
  </si>
  <si>
    <t xml:space="preserve">Chibabava</t>
  </si>
  <si>
    <t xml:space="preserve">Eswatini</t>
  </si>
  <si>
    <t xml:space="preserve">Análises Clínicas e Saúde Publica</t>
  </si>
  <si>
    <t xml:space="preserve">Quelimane</t>
  </si>
  <si>
    <t xml:space="preserve">Sudão</t>
  </si>
  <si>
    <t xml:space="preserve">Anatomia Patológica</t>
  </si>
  <si>
    <t xml:space="preserve">Mocuba</t>
  </si>
  <si>
    <t xml:space="preserve">Regime  Curso</t>
  </si>
  <si>
    <t xml:space="preserve">Dondo</t>
  </si>
  <si>
    <t xml:space="preserve">Sudão do Sul</t>
  </si>
  <si>
    <t xml:space="preserve">Anestesiologia</t>
  </si>
  <si>
    <t xml:space="preserve">Milange</t>
  </si>
  <si>
    <t xml:space="preserve">À Distância</t>
  </si>
  <si>
    <t xml:space="preserve">Nhamatanda</t>
  </si>
  <si>
    <t xml:space="preserve">Tanzânia</t>
  </si>
  <si>
    <t xml:space="preserve">Animação Turística</t>
  </si>
  <si>
    <t xml:space="preserve">Guruè</t>
  </si>
  <si>
    <t xml:space="preserve">Laboral</t>
  </si>
  <si>
    <t xml:space="preserve">Togo</t>
  </si>
  <si>
    <t xml:space="preserve">Ano Propedêutico do Curso de Medicina Geral</t>
  </si>
  <si>
    <t xml:space="preserve">Pós Laboral</t>
  </si>
  <si>
    <t xml:space="preserve">Tunísia</t>
  </si>
  <si>
    <t xml:space="preserve">Antropologia</t>
  </si>
  <si>
    <t xml:space="preserve">Ilha de Moçambique</t>
  </si>
  <si>
    <t xml:space="preserve">Uganda</t>
  </si>
  <si>
    <t xml:space="preserve">Antropologia da Saúde Doença e Tratamento</t>
  </si>
  <si>
    <t xml:space="preserve">Nacala</t>
  </si>
  <si>
    <t xml:space="preserve">Nível Académico</t>
  </si>
  <si>
    <t xml:space="preserve">Cheringoma</t>
  </si>
  <si>
    <t xml:space="preserve">Zâmbia</t>
  </si>
  <si>
    <t xml:space="preserve">Antropologia Médica e Saúde Publica</t>
  </si>
  <si>
    <t xml:space="preserve">Pemba</t>
  </si>
  <si>
    <t xml:space="preserve">Bacharel</t>
  </si>
  <si>
    <t xml:space="preserve">Caia</t>
  </si>
  <si>
    <t xml:space="preserve">Zimbábue</t>
  </si>
  <si>
    <t xml:space="preserve">Antropologia Social</t>
  </si>
  <si>
    <t xml:space="preserve">Montepuez</t>
  </si>
  <si>
    <t xml:space="preserve">Marínguè</t>
  </si>
  <si>
    <t xml:space="preserve">Europa</t>
  </si>
  <si>
    <t xml:space="preserve">Albânia </t>
  </si>
  <si>
    <t xml:space="preserve">Aquacultura Sustentável</t>
  </si>
  <si>
    <t xml:space="preserve">Mocímboa da Praia</t>
  </si>
  <si>
    <t xml:space="preserve">Chemba</t>
  </si>
  <si>
    <t xml:space="preserve">Alemanha </t>
  </si>
  <si>
    <t xml:space="preserve">Arqueologia</t>
  </si>
  <si>
    <t xml:space="preserve">Cuamba</t>
  </si>
  <si>
    <t xml:space="preserve">Machaze</t>
  </si>
  <si>
    <t xml:space="preserve">Andorra </t>
  </si>
  <si>
    <t xml:space="preserve">Arqueologia e Gestão de Património Cultural</t>
  </si>
  <si>
    <t xml:space="preserve">Lichinga</t>
  </si>
  <si>
    <t xml:space="preserve">Pós-graduação</t>
  </si>
  <si>
    <t xml:space="preserve">Mossurize</t>
  </si>
  <si>
    <t xml:space="preserve">Áustria </t>
  </si>
  <si>
    <t xml:space="preserve">Arquitectura</t>
  </si>
  <si>
    <t xml:space="preserve">Diploma de especialização</t>
  </si>
  <si>
    <t xml:space="preserve">Este quadro recolhe dados de estudantes por província de naturalidade, ou seja, onde o estudante nasceu independentemente do local de conclusão de nível médio </t>
  </si>
  <si>
    <t xml:space="preserve">Sussundenga</t>
  </si>
  <si>
    <t xml:space="preserve">Bélgica </t>
  </si>
  <si>
    <t xml:space="preserve">Arquitectura e Planeamento Físico</t>
  </si>
  <si>
    <t xml:space="preserve">Catedrático</t>
  </si>
  <si>
    <t xml:space="preserve">Quadro 1.10. Número de Novos Ingressos, Matriculados e Graduados por Sexo e Faixa Etária</t>
  </si>
  <si>
    <t xml:space="preserve">Macate</t>
  </si>
  <si>
    <t xml:space="preserve">Bielorrússia </t>
  </si>
  <si>
    <t xml:space="preserve">Arquitectura e Urbanismo</t>
  </si>
  <si>
    <t xml:space="preserve">Básico</t>
  </si>
  <si>
    <t xml:space="preserve">Classe de idade</t>
  </si>
  <si>
    <t xml:space="preserve">Gondola</t>
  </si>
  <si>
    <t xml:space="preserve">Bósnia e Herzegovina </t>
  </si>
  <si>
    <t xml:space="preserve">Arquivística</t>
  </si>
  <si>
    <t xml:space="preserve">Médio</t>
  </si>
  <si>
    <t xml:space="preserve">Bulgária </t>
  </si>
  <si>
    <t xml:space="preserve">Artes Cénicas</t>
  </si>
  <si>
    <t xml:space="preserve">Elementar</t>
  </si>
  <si>
    <t xml:space="preserve">&lt;=17 anos</t>
  </si>
  <si>
    <t xml:space="preserve">Cazaquistão </t>
  </si>
  <si>
    <t xml:space="preserve">Artes Plasticas</t>
  </si>
  <si>
    <t xml:space="preserve">Países</t>
  </si>
  <si>
    <t xml:space="preserve">Tipo de Publicações</t>
  </si>
  <si>
    <t xml:space="preserve">18 a 23 anos</t>
  </si>
  <si>
    <t xml:space="preserve">Chipre </t>
  </si>
  <si>
    <t xml:space="preserve">Artilharia Anti -Aerea</t>
  </si>
  <si>
    <t xml:space="preserve">Artigos cientiificos em revistas nacionais</t>
  </si>
  <si>
    <t xml:space="preserve">24 a 29 anos</t>
  </si>
  <si>
    <t xml:space="preserve">Macossa</t>
  </si>
  <si>
    <t xml:space="preserve">Croácia </t>
  </si>
  <si>
    <t xml:space="preserve">Artilharia Terrestre</t>
  </si>
  <si>
    <t xml:space="preserve">Artigos cientiificos em revistas internacionais</t>
  </si>
  <si>
    <t xml:space="preserve">30 a 35 anos</t>
  </si>
  <si>
    <t xml:space="preserve">Báruè</t>
  </si>
  <si>
    <t xml:space="preserve">Dinamarca </t>
  </si>
  <si>
    <t xml:space="preserve">Assessória de Direcção</t>
  </si>
  <si>
    <t xml:space="preserve">Livros</t>
  </si>
  <si>
    <t xml:space="preserve">Superior a 35 anos</t>
  </si>
  <si>
    <t xml:space="preserve">Tambara</t>
  </si>
  <si>
    <t xml:space="preserve">Eslováquia </t>
  </si>
  <si>
    <t xml:space="preserve">Auditoria</t>
  </si>
  <si>
    <t xml:space="preserve">Capítulo(s) em livros</t>
  </si>
  <si>
    <t xml:space="preserve">Guro</t>
  </si>
  <si>
    <t xml:space="preserve">Eslovénia </t>
  </si>
  <si>
    <t xml:space="preserve">Avaliação  Educacional</t>
  </si>
  <si>
    <t xml:space="preserve">Mutarara</t>
  </si>
  <si>
    <t xml:space="preserve">Espanha </t>
  </si>
  <si>
    <t xml:space="preserve">Biblioteconomia</t>
  </si>
  <si>
    <t xml:space="preserve">Dôa</t>
  </si>
  <si>
    <t xml:space="preserve">Estónia </t>
  </si>
  <si>
    <t xml:space="preserve">Biblioteconomia e Documentação</t>
  </si>
  <si>
    <t xml:space="preserve">Quadro 1.11. Número de Estudantes  Graduados por Curso consoante o ano da Primeira Matricula</t>
  </si>
  <si>
    <t xml:space="preserve">Changara</t>
  </si>
  <si>
    <t xml:space="preserve">Finlândia </t>
  </si>
  <si>
    <t xml:space="preserve">Bilinguismo e Educação Bilingue</t>
  </si>
  <si>
    <t xml:space="preserve">***Ano de mobilidade</t>
  </si>
  <si>
    <t xml:space="preserve">**Duração  </t>
  </si>
  <si>
    <t xml:space="preserve">Ano da primeíra matrícula</t>
  </si>
  <si>
    <t xml:space="preserve"> Total</t>
  </si>
  <si>
    <t xml:space="preserve">Moatize</t>
  </si>
  <si>
    <t xml:space="preserve">França </t>
  </si>
  <si>
    <t xml:space="preserve">Biociência</t>
  </si>
  <si>
    <t xml:space="preserve">Antes de 2016</t>
  </si>
  <si>
    <t xml:space="preserve">Grécia </t>
  </si>
  <si>
    <t xml:space="preserve">Biociências e Saúde Pública</t>
  </si>
  <si>
    <t xml:space="preserve">Marara</t>
  </si>
  <si>
    <t xml:space="preserve">Hungria </t>
  </si>
  <si>
    <t xml:space="preserve">Biologia</t>
  </si>
  <si>
    <t xml:space="preserve">Cahora-Bassa </t>
  </si>
  <si>
    <t xml:space="preserve">Irlanda </t>
  </si>
  <si>
    <t xml:space="preserve">Biologia Aplicada</t>
  </si>
  <si>
    <t xml:space="preserve">Mágoè</t>
  </si>
  <si>
    <t xml:space="preserve">Islândia </t>
  </si>
  <si>
    <t xml:space="preserve">Biologia Aquática e Ecossistemas Costeiros</t>
  </si>
  <si>
    <t xml:space="preserve">Tsangano</t>
  </si>
  <si>
    <t xml:space="preserve">Itália </t>
  </si>
  <si>
    <t xml:space="preserve">Biologia de Conservação</t>
  </si>
  <si>
    <t xml:space="preserve">Chiúta</t>
  </si>
  <si>
    <t xml:space="preserve">Letónia </t>
  </si>
  <si>
    <t xml:space="preserve">Biologia e Ecologia de Conservação</t>
  </si>
  <si>
    <t xml:space="preserve">Marávia</t>
  </si>
  <si>
    <t xml:space="preserve">Liechtenstein </t>
  </si>
  <si>
    <t xml:space="preserve">Biologia e Ecossistemas Costeiros</t>
  </si>
  <si>
    <t xml:space="preserve">Zumbu</t>
  </si>
  <si>
    <t xml:space="preserve">Lituânia </t>
  </si>
  <si>
    <t xml:space="preserve">Biologia e Saúde</t>
  </si>
  <si>
    <t xml:space="preserve">Luxemburgo </t>
  </si>
  <si>
    <t xml:space="preserve">Biologia Marinha</t>
  </si>
  <si>
    <t xml:space="preserve">Macanga</t>
  </si>
  <si>
    <t xml:space="preserve">Malta </t>
  </si>
  <si>
    <t xml:space="preserve">Biologia Marinha, Aquática e Costeira</t>
  </si>
  <si>
    <t xml:space="preserve">Chifunde</t>
  </si>
  <si>
    <t xml:space="preserve">Moldávia </t>
  </si>
  <si>
    <t xml:space="preserve">Biotecnologia</t>
  </si>
  <si>
    <t xml:space="preserve">Chinde</t>
  </si>
  <si>
    <t xml:space="preserve">Mónaco </t>
  </si>
  <si>
    <t xml:space="preserve">Blindados</t>
  </si>
  <si>
    <t xml:space="preserve">Luabo</t>
  </si>
  <si>
    <t xml:space="preserve">Montenegro </t>
  </si>
  <si>
    <t xml:space="preserve">Business Management</t>
  </si>
  <si>
    <t xml:space="preserve">Inhassunge</t>
  </si>
  <si>
    <t xml:space="preserve">Noruega </t>
  </si>
  <si>
    <t xml:space="preserve">Cartografia e Pesquisa Geológica</t>
  </si>
  <si>
    <t xml:space="preserve">Países Baixos </t>
  </si>
  <si>
    <t xml:space="preserve">Chefe de Operações de Unidades Militares</t>
  </si>
  <si>
    <t xml:space="preserve">Mopeia</t>
  </si>
  <si>
    <t xml:space="preserve">Polónia </t>
  </si>
  <si>
    <t xml:space="preserve">Ciência de Informação Geografica para o Desenvolvimento Sustentável</t>
  </si>
  <si>
    <t xml:space="preserve">Namacurra</t>
  </si>
  <si>
    <t xml:space="preserve">Portugal </t>
  </si>
  <si>
    <t xml:space="preserve">Ciência do Desporto-Treino Desportivo</t>
  </si>
  <si>
    <t xml:space="preserve">Nicoadala</t>
  </si>
  <si>
    <t xml:space="preserve">Tchéquia</t>
  </si>
  <si>
    <t xml:space="preserve">Ciência e Tecnologia Animal</t>
  </si>
  <si>
    <t xml:space="preserve">Maganja da Costa</t>
  </si>
  <si>
    <t xml:space="preserve">Macedónia do Norte </t>
  </si>
  <si>
    <t xml:space="preserve">Ciência e Tecnologia de Alimentos</t>
  </si>
  <si>
    <t xml:space="preserve">Mocubela</t>
  </si>
  <si>
    <t xml:space="preserve">Reino Unido </t>
  </si>
  <si>
    <t xml:space="preserve">Ciência e Tecnologia de Energias Renováveis</t>
  </si>
  <si>
    <t xml:space="preserve"> </t>
  </si>
  <si>
    <t xml:space="preserve">Roménia</t>
  </si>
  <si>
    <t xml:space="preserve">Ciência Politica e Relações Internacionais</t>
  </si>
  <si>
    <t xml:space="preserve">Derre</t>
  </si>
  <si>
    <t xml:space="preserve">Rússia</t>
  </si>
  <si>
    <t xml:space="preserve">Ciência Politica, Governação e Relações Internacionais</t>
  </si>
  <si>
    <t xml:space="preserve">**A duração deve reflectir a definição no curriculo do curso</t>
  </si>
  <si>
    <t xml:space="preserve">Pebane</t>
  </si>
  <si>
    <t xml:space="preserve">Sérvia </t>
  </si>
  <si>
    <t xml:space="preserve">Ciências Agrarias</t>
  </si>
  <si>
    <t xml:space="preserve">*** Ano de mobilidade " Em caso de Mobilidade do Estudante preencher o ano de frequencia" exemplo 2º ano , 3º ano</t>
  </si>
  <si>
    <t xml:space="preserve">Mulevala</t>
  </si>
  <si>
    <t xml:space="preserve">Suécia </t>
  </si>
  <si>
    <t xml:space="preserve">Ciências Alimentares</t>
  </si>
  <si>
    <t xml:space="preserve">Turquia</t>
  </si>
  <si>
    <t xml:space="preserve">Ciências Biológicas</t>
  </si>
  <si>
    <t xml:space="preserve">Quadro 1.12. Cursos de curta duração e ou Especialização por Grau e Sexo </t>
  </si>
  <si>
    <t xml:space="preserve">Gilé</t>
  </si>
  <si>
    <t xml:space="preserve">Ucrânia </t>
  </si>
  <si>
    <t xml:space="preserve">Ciências da Comunicação Especialização em Comunicação-Jornalismo</t>
  </si>
  <si>
    <t xml:space="preserve">**Duração (meses)</t>
  </si>
  <si>
    <t xml:space="preserve">Alto Molócuè</t>
  </si>
  <si>
    <t xml:space="preserve">Vaticano </t>
  </si>
  <si>
    <t xml:space="preserve">Ciências da Comunicação-Jornalismo e Relações Públicas</t>
  </si>
  <si>
    <t xml:space="preserve">Ile</t>
  </si>
  <si>
    <t xml:space="preserve">América</t>
  </si>
  <si>
    <t xml:space="preserve">Antígua e Barbuda</t>
  </si>
  <si>
    <t xml:space="preserve">Ciências da Comunicação-Marketing e Publicidade</t>
  </si>
  <si>
    <t xml:space="preserve">Namarrói</t>
  </si>
  <si>
    <t xml:space="preserve">Argentina</t>
  </si>
  <si>
    <t xml:space="preserve">Ciências da Linguagem Aplicada ao Ensino de Linguas</t>
  </si>
  <si>
    <t xml:space="preserve">Molumbo</t>
  </si>
  <si>
    <t xml:space="preserve">Bahamas</t>
  </si>
  <si>
    <t xml:space="preserve">Ciências de Administração e Gestão</t>
  </si>
  <si>
    <t xml:space="preserve">Barbados</t>
  </si>
  <si>
    <t xml:space="preserve">Ciências de Comunicação</t>
  </si>
  <si>
    <t xml:space="preserve">Moma</t>
  </si>
  <si>
    <t xml:space="preserve">Belize</t>
  </si>
  <si>
    <t xml:space="preserve">Ciências de comunicação -Especialização em Comunicação e Marketing</t>
  </si>
  <si>
    <t xml:space="preserve">Larde</t>
  </si>
  <si>
    <t xml:space="preserve">Bolívia </t>
  </si>
  <si>
    <t xml:space="preserve">Ciências de Desporto</t>
  </si>
  <si>
    <t xml:space="preserve">Angoche</t>
  </si>
  <si>
    <t xml:space="preserve">Brasil</t>
  </si>
  <si>
    <t xml:space="preserve">Ciências de Educação</t>
  </si>
  <si>
    <t xml:space="preserve">Mogovolas</t>
  </si>
  <si>
    <t xml:space="preserve">Canadá</t>
  </si>
  <si>
    <t xml:space="preserve">Ciências de Educação – Especialização em Educação Inclusiva e Pedagogia Diferenciada</t>
  </si>
  <si>
    <t xml:space="preserve">Murrupula</t>
  </si>
  <si>
    <t xml:space="preserve">Chile</t>
  </si>
  <si>
    <t xml:space="preserve">Ciências de Educação e Desenvolvimento Curricular</t>
  </si>
  <si>
    <t xml:space="preserve">Liúpo</t>
  </si>
  <si>
    <t xml:space="preserve">Colômbia</t>
  </si>
  <si>
    <t xml:space="preserve">Ciências de Educação e Matemática</t>
  </si>
  <si>
    <t xml:space="preserve">Mogincual</t>
  </si>
  <si>
    <t xml:space="preserve">Costa Rica </t>
  </si>
  <si>
    <t xml:space="preserve">Ciências de Educação Física e Desporto</t>
  </si>
  <si>
    <t xml:space="preserve">Meconta</t>
  </si>
  <si>
    <t xml:space="preserve">Cuba</t>
  </si>
  <si>
    <t xml:space="preserve">Ciências de Informação</t>
  </si>
  <si>
    <t xml:space="preserve">Rapale</t>
  </si>
  <si>
    <t xml:space="preserve">Equador</t>
  </si>
  <si>
    <t xml:space="preserve">Ciências de Nutrição</t>
  </si>
  <si>
    <t xml:space="preserve">** Duração do curso em meses uteis</t>
  </si>
  <si>
    <t xml:space="preserve">Ribáuè</t>
  </si>
  <si>
    <t xml:space="preserve">El Salvador </t>
  </si>
  <si>
    <t xml:space="preserve">Ciências de Saúde</t>
  </si>
  <si>
    <t xml:space="preserve">Ilha de Moçambique </t>
  </si>
  <si>
    <t xml:space="preserve">Granada </t>
  </si>
  <si>
    <t xml:space="preserve">Ciências Florestais</t>
  </si>
  <si>
    <t xml:space="preserve">Quadro 1.13.  Número de Estudantes Desistentes, Óbito ou que Anularam Matrícula Por Curso e Sexo</t>
  </si>
  <si>
    <t xml:space="preserve">Mossuril</t>
  </si>
  <si>
    <t xml:space="preserve">Guatemala  </t>
  </si>
  <si>
    <t xml:space="preserve">Ciências Florestais-Ramo de Economia e Maneio Florestal</t>
  </si>
  <si>
    <t xml:space="preserve">Causas</t>
  </si>
  <si>
    <t xml:space="preserve">Sexo</t>
  </si>
  <si>
    <t xml:space="preserve">Monapo</t>
  </si>
  <si>
    <t xml:space="preserve">Guiana</t>
  </si>
  <si>
    <t xml:space="preserve">Ciências Jurídicas</t>
  </si>
  <si>
    <t xml:space="preserve">Muecate</t>
  </si>
  <si>
    <t xml:space="preserve">Haiti </t>
  </si>
  <si>
    <t xml:space="preserve">Ciências Jurídicas e Investigação Criminal</t>
  </si>
  <si>
    <t xml:space="preserve">Mecubúri</t>
  </si>
  <si>
    <t xml:space="preserve">Honduras</t>
  </si>
  <si>
    <t xml:space="preserve">Ciências Jurídicas Publico</t>
  </si>
  <si>
    <t xml:space="preserve">Lalaua</t>
  </si>
  <si>
    <t xml:space="preserve">Jamaica</t>
  </si>
  <si>
    <t xml:space="preserve">Ciências Juridico – Económico - Empresariais</t>
  </si>
  <si>
    <t xml:space="preserve">México  </t>
  </si>
  <si>
    <t xml:space="preserve">Ciências Jurídico - Forenses</t>
  </si>
  <si>
    <t xml:space="preserve">Nacala-a-Velha</t>
  </si>
  <si>
    <t xml:space="preserve">Nicarágua</t>
  </si>
  <si>
    <t xml:space="preserve">Ciências Juridico-Economicas</t>
  </si>
  <si>
    <t xml:space="preserve">Nacarôa</t>
  </si>
  <si>
    <t xml:space="preserve">Panamá  </t>
  </si>
  <si>
    <t xml:space="preserve">Ciências Jurídico-políticas</t>
  </si>
  <si>
    <t xml:space="preserve">Memba</t>
  </si>
  <si>
    <t xml:space="preserve">Paraguai</t>
  </si>
  <si>
    <t xml:space="preserve">Ciências Policiais</t>
  </si>
  <si>
    <t xml:space="preserve">Eráti</t>
  </si>
  <si>
    <t xml:space="preserve">Peru</t>
  </si>
  <si>
    <t xml:space="preserve">Ciências Politicas</t>
  </si>
  <si>
    <t xml:space="preserve">CaboDelgado</t>
  </si>
  <si>
    <t xml:space="preserve">Mecufi</t>
  </si>
  <si>
    <t xml:space="preserve">República Dominicana </t>
  </si>
  <si>
    <t xml:space="preserve">Ciências Politicas e  Relações Internacionais</t>
  </si>
  <si>
    <t xml:space="preserve">Chiúre</t>
  </si>
  <si>
    <t xml:space="preserve">São Cristóvão e Nevis</t>
  </si>
  <si>
    <t xml:space="preserve">Ciências Politicas e Estudos Africanos</t>
  </si>
  <si>
    <t xml:space="preserve">Namuno</t>
  </si>
  <si>
    <t xml:space="preserve">Santa Lúcia</t>
  </si>
  <si>
    <t xml:space="preserve">Ciências Religiosas de Educativas</t>
  </si>
  <si>
    <t xml:space="preserve">Balama</t>
  </si>
  <si>
    <t xml:space="preserve">São Vicente e Granadinas</t>
  </si>
  <si>
    <t xml:space="preserve">Cinema e Audiovisual</t>
  </si>
  <si>
    <t xml:space="preserve">Suriname</t>
  </si>
  <si>
    <t xml:space="preserve">Cirurgia</t>
  </si>
  <si>
    <t xml:space="preserve">Ancuabe</t>
  </si>
  <si>
    <t xml:space="preserve">Uruguai</t>
  </si>
  <si>
    <t xml:space="preserve">Comércio</t>
  </si>
  <si>
    <t xml:space="preserve">Quissanga</t>
  </si>
  <si>
    <t xml:space="preserve">Venezuela</t>
  </si>
  <si>
    <t xml:space="preserve">Computer Science</t>
  </si>
  <si>
    <t xml:space="preserve">Quadro 1.14. Número de Estudantes Bolseiros por Curso, Sexo, tipo de Bolsa e  Financiador</t>
  </si>
  <si>
    <t xml:space="preserve">Ibo</t>
  </si>
  <si>
    <t xml:space="preserve">Ásia</t>
  </si>
  <si>
    <t xml:space="preserve">Afeganistão</t>
  </si>
  <si>
    <t xml:space="preserve">Comunicação Aplicada em Jornalismo</t>
  </si>
  <si>
    <t xml:space="preserve">*Província</t>
  </si>
  <si>
    <t xml:space="preserve">*Distrito</t>
  </si>
  <si>
    <t xml:space="preserve">País de Proveniência</t>
  </si>
  <si>
    <t xml:space="preserve">**Tipo de bolsa</t>
  </si>
  <si>
    <t xml:space="preserve">***Financiador</t>
  </si>
  <si>
    <t xml:space="preserve">Meluco</t>
  </si>
  <si>
    <t xml:space="preserve">Arábia Saudita</t>
  </si>
  <si>
    <t xml:space="preserve">Comunicação e Desenvolvimento</t>
  </si>
  <si>
    <t xml:space="preserve">Arménia</t>
  </si>
  <si>
    <t xml:space="preserve">Comunicação e Extensão Rural</t>
  </si>
  <si>
    <t xml:space="preserve">Macomia</t>
  </si>
  <si>
    <t xml:space="preserve">Azerbaijão</t>
  </si>
  <si>
    <t xml:space="preserve">Comunicação e Relações Empresariais</t>
  </si>
  <si>
    <t xml:space="preserve">Muidumbe</t>
  </si>
  <si>
    <t xml:space="preserve">Bahrein</t>
  </si>
  <si>
    <t xml:space="preserve">Comunicação Rural</t>
  </si>
  <si>
    <t xml:space="preserve">Bangladesh </t>
  </si>
  <si>
    <t xml:space="preserve">Comunicações</t>
  </si>
  <si>
    <t xml:space="preserve">Mueda</t>
  </si>
  <si>
    <t xml:space="preserve">Brunei </t>
  </si>
  <si>
    <t xml:space="preserve">Construção Sustentável</t>
  </si>
  <si>
    <t xml:space="preserve">Palma</t>
  </si>
  <si>
    <t xml:space="preserve">Butão</t>
  </si>
  <si>
    <t xml:space="preserve">Contabilidade</t>
  </si>
  <si>
    <t xml:space="preserve">Nangade</t>
  </si>
  <si>
    <t xml:space="preserve">Camboja </t>
  </si>
  <si>
    <t xml:space="preserve">Contabilidade e Administração Pública</t>
  </si>
  <si>
    <t xml:space="preserve">Cazaquistão</t>
  </si>
  <si>
    <t xml:space="preserve">Contabilidade e Auditoria</t>
  </si>
  <si>
    <t xml:space="preserve">Mecanhelas</t>
  </si>
  <si>
    <t xml:space="preserve">Catar </t>
  </si>
  <si>
    <t xml:space="preserve">Contabilidade e Finanças</t>
  </si>
  <si>
    <t xml:space="preserve">Metarica</t>
  </si>
  <si>
    <t xml:space="preserve">China </t>
  </si>
  <si>
    <t xml:space="preserve">Contabilidade e Fiscalidade</t>
  </si>
  <si>
    <t xml:space="preserve">Mandimba</t>
  </si>
  <si>
    <t xml:space="preserve">Chipre</t>
  </si>
  <si>
    <t xml:space="preserve">Contabilidade e Gestão Financeira</t>
  </si>
  <si>
    <t xml:space="preserve">Nipepe</t>
  </si>
  <si>
    <t xml:space="preserve">Singapura </t>
  </si>
  <si>
    <t xml:space="preserve">Contabilidade Fiscalidade e Auditoria</t>
  </si>
  <si>
    <t xml:space="preserve">*Local onde funciona o curso. Se o curso funciona em mais que uma cidade peencha em linhas separadas; *Campos Provincia e Distrito somente para os de nacionalidade mocambicana; Preencher se o estudante é estrangeiro ou moçambicano, se for estrangeiro preencher o País de origem</t>
  </si>
  <si>
    <t xml:space="preserve">Maúa</t>
  </si>
  <si>
    <t xml:space="preserve">Coreia do Norte </t>
  </si>
  <si>
    <t xml:space="preserve">Contabilidade Fiscalidade e Finanças Empresariais</t>
  </si>
  <si>
    <t xml:space="preserve">**Tipo de Bolsa-Reduzidas,Parcial, completas e outras</t>
  </si>
  <si>
    <t xml:space="preserve">Marrupa</t>
  </si>
  <si>
    <t xml:space="preserve">Coreia do Sul </t>
  </si>
  <si>
    <t xml:space="preserve">Contabilidade Pública e Autárquica</t>
  </si>
  <si>
    <t xml:space="preserve">***OGE, IBE, Doações, creditos, Receitas Próprias</t>
  </si>
  <si>
    <t xml:space="preserve">Majune</t>
  </si>
  <si>
    <t xml:space="preserve">Emirados Árabes </t>
  </si>
  <si>
    <t xml:space="preserve">Cooperação para o Desenvolvimento</t>
  </si>
  <si>
    <t xml:space="preserve">Chimbunila</t>
  </si>
  <si>
    <t xml:space="preserve">Geórgia</t>
  </si>
  <si>
    <t xml:space="preserve">Desenho de Sistemas Educativos</t>
  </si>
  <si>
    <t xml:space="preserve">Quadro 1.15. Número de Estudantes Bolseiros, Novos Ingressos, Matriculados e Graduados por Sexo e Faixa Etária</t>
  </si>
  <si>
    <t xml:space="preserve">Iémen </t>
  </si>
  <si>
    <t xml:space="preserve">Desenvolvimento Agrário</t>
  </si>
  <si>
    <t xml:space="preserve">Idade</t>
  </si>
  <si>
    <t xml:space="preserve">Mecula</t>
  </si>
  <si>
    <t xml:space="preserve">Índia </t>
  </si>
  <si>
    <t xml:space="preserve">Desenvolvimento Agrário - Ramo de Gestão dos Recursos Florestais e Faunísticos</t>
  </si>
  <si>
    <t xml:space="preserve">Mavago</t>
  </si>
  <si>
    <t xml:space="preserve">Indonésia</t>
  </si>
  <si>
    <t xml:space="preserve">Desenvolvimento Agrário- Economia Agraria</t>
  </si>
  <si>
    <t xml:space="preserve">Muembe</t>
  </si>
  <si>
    <t xml:space="preserve">Irão</t>
  </si>
  <si>
    <t xml:space="preserve">Desenvolvimento Agrário -Ramo de Desenvolvimento Rural</t>
  </si>
  <si>
    <t xml:space="preserve">Sanga</t>
  </si>
  <si>
    <t xml:space="preserve">Iraque</t>
  </si>
  <si>
    <t xml:space="preserve">Desenvolvimento Agrário-Gestão de Recursos Vegetais e Faunísticos</t>
  </si>
  <si>
    <t xml:space="preserve">Lago </t>
  </si>
  <si>
    <t xml:space="preserve">Israel</t>
  </si>
  <si>
    <t xml:space="preserve">Desenvolvimento Agrário-Ramo de Gestão Empresarial</t>
  </si>
  <si>
    <t xml:space="preserve">Japão</t>
  </si>
  <si>
    <t xml:space="preserve">Desenvolvimento Comunitário</t>
  </si>
  <si>
    <t xml:space="preserve">Jordânia</t>
  </si>
  <si>
    <t xml:space="preserve">Desenvolvimento Comunitário e Serviço Social</t>
  </si>
  <si>
    <t xml:space="preserve">Kuwait</t>
  </si>
  <si>
    <t xml:space="preserve">Desenvolvimento Curricular e Institucional</t>
  </si>
  <si>
    <t xml:space="preserve">Laos</t>
  </si>
  <si>
    <t xml:space="preserve">Desenvolvimento de Software</t>
  </si>
  <si>
    <t xml:space="preserve">Líbano</t>
  </si>
  <si>
    <t xml:space="preserve">Desenvolvimento do Território e Gestão Urbana</t>
  </si>
  <si>
    <t xml:space="preserve">Quadro 1.16, Número de Estudantes Bolseiros, Novos Ingressos, Matriculados e Graduados por Sexo e Província de Naturalidade</t>
  </si>
  <si>
    <t xml:space="preserve">Malásia </t>
  </si>
  <si>
    <t xml:space="preserve">Desenvolvimento e Educação de Infância</t>
  </si>
  <si>
    <t xml:space="preserve">Provincia de Naturalidade</t>
  </si>
  <si>
    <t xml:space="preserve">Maldivas </t>
  </si>
  <si>
    <t xml:space="preserve">Desenvolvimento e Sociedade</t>
  </si>
  <si>
    <t xml:space="preserve">Desistência</t>
  </si>
  <si>
    <t xml:space="preserve">Mianmar  </t>
  </si>
  <si>
    <t xml:space="preserve">Desenvolvimento Económico Regional e Local</t>
  </si>
  <si>
    <t xml:space="preserve">Anulação</t>
  </si>
  <si>
    <t xml:space="preserve">Mongólia </t>
  </si>
  <si>
    <t xml:space="preserve">Desenvolvimento Humano e Educação</t>
  </si>
  <si>
    <t xml:space="preserve">Óbito</t>
  </si>
  <si>
    <t xml:space="preserve">Nepal</t>
  </si>
  <si>
    <t xml:space="preserve">Desenvolvimento Local e Relações Internacional</t>
  </si>
  <si>
    <t xml:space="preserve">Abandono</t>
  </si>
  <si>
    <t xml:space="preserve">Omã</t>
  </si>
  <si>
    <t xml:space="preserve">Desenvolvimento Rural</t>
  </si>
  <si>
    <t xml:space="preserve">Expulsão</t>
  </si>
  <si>
    <t xml:space="preserve">Paquistão </t>
  </si>
  <si>
    <t xml:space="preserve">Design</t>
  </si>
  <si>
    <t xml:space="preserve">Sem informção</t>
  </si>
  <si>
    <t xml:space="preserve">Quirguistão</t>
  </si>
  <si>
    <t xml:space="preserve">Design de Comunicação</t>
  </si>
  <si>
    <t xml:space="preserve">Design e Multimédia</t>
  </si>
  <si>
    <t xml:space="preserve">Síria</t>
  </si>
  <si>
    <t xml:space="preserve">Design e tecnologias das artes visuais</t>
  </si>
  <si>
    <t xml:space="preserve">Sri Lanka</t>
  </si>
  <si>
    <t xml:space="preserve">Tajiquistão</t>
  </si>
  <si>
    <t xml:space="preserve">Direito Administrativo</t>
  </si>
  <si>
    <t xml:space="preserve">Tailândia </t>
  </si>
  <si>
    <t xml:space="preserve">Direito Civil</t>
  </si>
  <si>
    <t xml:space="preserve">Timor-Leste</t>
  </si>
  <si>
    <t xml:space="preserve">Direito do Comercio Internacional</t>
  </si>
  <si>
    <t xml:space="preserve">Turquemenistão</t>
  </si>
  <si>
    <t xml:space="preserve">Direito do trabalho</t>
  </si>
  <si>
    <t xml:space="preserve">Direito dos Petróleos e do Gás</t>
  </si>
  <si>
    <t xml:space="preserve">Uzbequistão</t>
  </si>
  <si>
    <t xml:space="preserve">Direito e Desenvolvimento Sustentável</t>
  </si>
  <si>
    <t xml:space="preserve">Vietnam</t>
  </si>
  <si>
    <t xml:space="preserve">Direito Empresarial</t>
  </si>
  <si>
    <t xml:space="preserve">Oceânia</t>
  </si>
  <si>
    <t xml:space="preserve">Austrália </t>
  </si>
  <si>
    <t xml:space="preserve">Direito Fiscal</t>
  </si>
  <si>
    <t xml:space="preserve">Estados Federados da Micronésia </t>
  </si>
  <si>
    <t xml:space="preserve">Direito Fiscal e Aduaneiro</t>
  </si>
  <si>
    <t xml:space="preserve">Fiji </t>
  </si>
  <si>
    <t xml:space="preserve">Direito Judiciário</t>
  </si>
  <si>
    <t xml:space="preserve"> Ilhas Marshall </t>
  </si>
  <si>
    <t xml:space="preserve">Direito Jurídico e Forense</t>
  </si>
  <si>
    <t xml:space="preserve"> Ilhas Salomão </t>
  </si>
  <si>
    <t xml:space="preserve">Direito Marítimo</t>
  </si>
  <si>
    <t xml:space="preserve"> Kiribati   </t>
  </si>
  <si>
    <t xml:space="preserve">Direito Penal</t>
  </si>
  <si>
    <t xml:space="preserve"> Nauru </t>
  </si>
  <si>
    <t xml:space="preserve">Direito Privado</t>
  </si>
  <si>
    <t xml:space="preserve"> Nova Zelândia </t>
  </si>
  <si>
    <t xml:space="preserve">Direito Publico</t>
  </si>
  <si>
    <t xml:space="preserve"> Palau </t>
  </si>
  <si>
    <t xml:space="preserve">Direito Tributário Profissional</t>
  </si>
  <si>
    <t xml:space="preserve"> Papua-Nova Guiné  </t>
  </si>
  <si>
    <t xml:space="preserve">Direitos Humanos</t>
  </si>
  <si>
    <t xml:space="preserve"> Samoa </t>
  </si>
  <si>
    <t xml:space="preserve">Direitos Humanos, Desenvolvimento Economico e Boa Governação</t>
  </si>
  <si>
    <t xml:space="preserve"> Tonga </t>
  </si>
  <si>
    <t xml:space="preserve">Direitos Sociais</t>
  </si>
  <si>
    <t xml:space="preserve"> Tuvalu  </t>
  </si>
  <si>
    <t xml:space="preserve">Direto e Segurança</t>
  </si>
  <si>
    <t xml:space="preserve"> Vanuatu  </t>
  </si>
  <si>
    <t xml:space="preserve">Docência de Administração de Sistemas de Redes Informáticas</t>
  </si>
  <si>
    <t xml:space="preserve">Docência de Agro - Pecuária</t>
  </si>
  <si>
    <t xml:space="preserve">Docência de Contabilidade</t>
  </si>
  <si>
    <t xml:space="preserve">Maputo Cidade</t>
  </si>
  <si>
    <t xml:space="preserve">Docência de Electricidade</t>
  </si>
  <si>
    <t xml:space="preserve">Docência de Gestão</t>
  </si>
  <si>
    <t xml:space="preserve">Docência de Guias de Turismo</t>
  </si>
  <si>
    <t xml:space="preserve">Docência de Mecânica</t>
  </si>
  <si>
    <t xml:space="preserve">Docência de Mesa e Bar</t>
  </si>
  <si>
    <t xml:space="preserve">Docência de Programação Informática</t>
  </si>
  <si>
    <t xml:space="preserve">Docência de Recepção</t>
  </si>
  <si>
    <t xml:space="preserve">Docência e Gestão do Ensino Superior</t>
  </si>
  <si>
    <t xml:space="preserve">Ecologia</t>
  </si>
  <si>
    <t xml:space="preserve">Ecologia e Conservação da Biodiversidade Terrestre</t>
  </si>
  <si>
    <t xml:space="preserve">Economia</t>
  </si>
  <si>
    <t xml:space="preserve">Economia Agrária</t>
  </si>
  <si>
    <t xml:space="preserve">Economia Agraria - Ramo de Agro - Negócios</t>
  </si>
  <si>
    <t xml:space="preserve">Economia Agrária Ramo de Economia dos Recursos Naturais</t>
  </si>
  <si>
    <t xml:space="preserve">Economia de Desenvolvimento</t>
  </si>
  <si>
    <t xml:space="preserve">Economia e Gestão</t>
  </si>
  <si>
    <t xml:space="preserve">Economia e Gestão de Petróleo e Gás</t>
  </si>
  <si>
    <t xml:space="preserve">Economia e Gestão de Portos</t>
  </si>
  <si>
    <t xml:space="preserve">Economia e Gestão Empresarial</t>
  </si>
  <si>
    <t xml:space="preserve">Economia Monetária e Seguros</t>
  </si>
  <si>
    <t xml:space="preserve">Ecoturismo e Gestão de Fauna Bravia</t>
  </si>
  <si>
    <t xml:space="preserve">Educação</t>
  </si>
  <si>
    <t xml:space="preserve">Educação - Currículo</t>
  </si>
  <si>
    <t xml:space="preserve">Educação - Especialização em Inovação e Currículo</t>
  </si>
  <si>
    <t xml:space="preserve">Educação Agraria</t>
  </si>
  <si>
    <t xml:space="preserve">Educação Ambiental</t>
  </si>
  <si>
    <t xml:space="preserve">Educação Ambiental e Desenvolvimento Sustentável</t>
  </si>
  <si>
    <t xml:space="preserve">Educação Cívico-Patriótica</t>
  </si>
  <si>
    <t xml:space="preserve">Educação de Adultos</t>
  </si>
  <si>
    <t xml:space="preserve">Educação de Infância</t>
  </si>
  <si>
    <t xml:space="preserve">Educação e Assistência Social</t>
  </si>
  <si>
    <t xml:space="preserve">Educação e Serviço Social</t>
  </si>
  <si>
    <t xml:space="preserve">Educação em Ciências de Saúde</t>
  </si>
  <si>
    <t xml:space="preserve">Educação em Ciências Naturais e Matemática</t>
  </si>
  <si>
    <t xml:space="preserve">Educação Física e Desporto</t>
  </si>
  <si>
    <t xml:space="preserve">Educação Física e Desportos</t>
  </si>
  <si>
    <t xml:space="preserve">Educação Inclusiva</t>
  </si>
  <si>
    <t xml:space="preserve">Educação Infantil</t>
  </si>
  <si>
    <t xml:space="preserve">Educação para o Desenvolvimento Comunitário</t>
  </si>
  <si>
    <t xml:space="preserve">Educação Profissional</t>
  </si>
  <si>
    <t xml:space="preserve">Educação Profissional de Electricidade Industrial</t>
  </si>
  <si>
    <t xml:space="preserve">Educação Profissional de Gestão Hoteleira</t>
  </si>
  <si>
    <t xml:space="preserve">Educação Profissional de Mecânica Industrial</t>
  </si>
  <si>
    <t xml:space="preserve">Educação Visual</t>
  </si>
  <si>
    <t xml:space="preserve">Educação/ Ensino de Ciências Naturais e Matemáticas</t>
  </si>
  <si>
    <t xml:space="preserve">Educação/Ensino de Filosofia</t>
  </si>
  <si>
    <t xml:space="preserve">Educação/Ensino de Geografia</t>
  </si>
  <si>
    <t xml:space="preserve">Educação/Ensino de Psicologia</t>
  </si>
  <si>
    <t xml:space="preserve">Educação/Metodologias e Didacticas de Ensino</t>
  </si>
  <si>
    <t xml:space="preserve">Educação/Psicologia Educacional</t>
  </si>
  <si>
    <t xml:space="preserve">Electrotecnia</t>
  </si>
  <si>
    <t xml:space="preserve">Emergências Pediátricas e Neonatais</t>
  </si>
  <si>
    <t xml:space="preserve">Empreendedorismo e Agro - Negócios</t>
  </si>
  <si>
    <t xml:space="preserve">Energia e Meio Ambiente</t>
  </si>
  <si>
    <t xml:space="preserve">Enfermagem em Saúde Materno - Infantil</t>
  </si>
  <si>
    <t xml:space="preserve">Enfermagem Geral</t>
  </si>
  <si>
    <t xml:space="preserve">Enfermagem Pediátrica</t>
  </si>
  <si>
    <t xml:space="preserve">Engenharia Agrícola</t>
  </si>
  <si>
    <t xml:space="preserve">Engenharia Agrícola Ambiental</t>
  </si>
  <si>
    <t xml:space="preserve">Engenharia Agro - Pecuária</t>
  </si>
  <si>
    <t xml:space="preserve">Engenharia Agronónica</t>
  </si>
  <si>
    <t xml:space="preserve">Engenharia Agro-Pecuaria</t>
  </si>
  <si>
    <t xml:space="preserve">Engenharia Alimentar</t>
  </si>
  <si>
    <t xml:space="preserve">Engenharia Ambiental</t>
  </si>
  <si>
    <t xml:space="preserve">Engenharia Ambiental e dos Recursos Naturais</t>
  </si>
  <si>
    <t xml:space="preserve">Engenharia Ambiental e Gestão de Desastres</t>
  </si>
  <si>
    <t xml:space="preserve">Engenharia Civil</t>
  </si>
  <si>
    <t xml:space="preserve">Engenharia Civil – Especialização em Hidráulica e Infra-Estruturas Rodoviárias</t>
  </si>
  <si>
    <t xml:space="preserve">Engenharia Civil e de Transportes</t>
  </si>
  <si>
    <t xml:space="preserve">Engenharia de Aquacultura</t>
  </si>
  <si>
    <t xml:space="preserve">Engenharia de Computadores e Sistema</t>
  </si>
  <si>
    <t xml:space="preserve">Engenharia de Construção Civil</t>
  </si>
  <si>
    <t xml:space="preserve">Engenharia de Construções Rurais e Ordenamento do Território</t>
  </si>
  <si>
    <t xml:space="preserve">Engenharia de Maquinas Marítimas</t>
  </si>
  <si>
    <t xml:space="preserve">Engenharia de Minas</t>
  </si>
  <si>
    <t xml:space="preserve">Engenharia de Petróleo</t>
  </si>
  <si>
    <t xml:space="preserve">Engenharia de Processamento de Alimentos</t>
  </si>
  <si>
    <t xml:space="preserve">Engenharia de Processamento de Hidrocarbonetos</t>
  </si>
  <si>
    <t xml:space="preserve">Engenharia de Processamento Mineral</t>
  </si>
  <si>
    <t xml:space="preserve">Engenharia de Processos Industriais</t>
  </si>
  <si>
    <t xml:space="preserve">Engenharia de Programação de Sistemas Informáticos e de Telecomunicações</t>
  </si>
  <si>
    <t xml:space="preserve">Engenharia de Sistemas e Telecomunicações</t>
  </si>
  <si>
    <t xml:space="preserve">Engenharia de Software</t>
  </si>
  <si>
    <t xml:space="preserve">Engenharia e Ciência dos Computadores</t>
  </si>
  <si>
    <t xml:space="preserve">Engenharia e Gestão da Construção Civil</t>
  </si>
  <si>
    <t xml:space="preserve">Engenharia e Gestão de Águas</t>
  </si>
  <si>
    <t xml:space="preserve">Engenharia e Gestão de Cibersegurança</t>
  </si>
  <si>
    <t xml:space="preserve">Engenharia e Gestão de Energia</t>
  </si>
  <si>
    <t xml:space="preserve">Engenharia e Gestão de Energias Renováveis</t>
  </si>
  <si>
    <t xml:space="preserve">Engenharia e Gestão de Energias Renováveis e Recursos Petrolíferos</t>
  </si>
  <si>
    <t xml:space="preserve">Engenharia e Gestão de Tecnologias  de Informação e Comunicação</t>
  </si>
  <si>
    <t xml:space="preserve">Engenharia e Gestão de Transporte e Logística</t>
  </si>
  <si>
    <t xml:space="preserve">Engenharia e Gestão Industrial</t>
  </si>
  <si>
    <t xml:space="preserve">Engenharia Eléctrica</t>
  </si>
  <si>
    <t xml:space="preserve">Engenharia Electromecânica</t>
  </si>
  <si>
    <t xml:space="preserve">Engenharia Electrónica</t>
  </si>
  <si>
    <t xml:space="preserve">Engenharia Electrónica e de Telecomunicações</t>
  </si>
  <si>
    <t xml:space="preserve">Engenharia Electrotécnica</t>
  </si>
  <si>
    <t xml:space="preserve">Engenharia Ferroviária</t>
  </si>
  <si>
    <t xml:space="preserve">Engenharia Florestal</t>
  </si>
  <si>
    <t xml:space="preserve">Engenharia Geológica</t>
  </si>
  <si>
    <t xml:space="preserve">Engenharia Geológica e de Minas</t>
  </si>
  <si>
    <t xml:space="preserve">Engenharia Hidráulica</t>
  </si>
  <si>
    <t xml:space="preserve">Engenharia Hidráulica, Agrícola e Água Rural</t>
  </si>
  <si>
    <t xml:space="preserve">Engenharia Informática</t>
  </si>
  <si>
    <t xml:space="preserve">Engenharia Informática e de Computadores</t>
  </si>
  <si>
    <t xml:space="preserve">Engenharia Informática e de Tecnologias</t>
  </si>
  <si>
    <t xml:space="preserve">Engenharia Informática e de Telecomunicações</t>
  </si>
  <si>
    <t xml:space="preserve">Engenharia Mecânica</t>
  </si>
  <si>
    <t xml:space="preserve">Engenharia Mêcanica de Autos Blindados</t>
  </si>
  <si>
    <t xml:space="preserve">Engenharia Mecânica e de Controle de Sistemas</t>
  </si>
  <si>
    <t xml:space="preserve">Engenharia Mecânica e de Transportes</t>
  </si>
  <si>
    <t xml:space="preserve">Engenharia Mecânica Naval</t>
  </si>
  <si>
    <t xml:space="preserve">Engenharia Mecatrónica</t>
  </si>
  <si>
    <t xml:space="preserve">Engenharia Militar</t>
  </si>
  <si>
    <t xml:space="preserve">Engenharia Química</t>
  </si>
  <si>
    <t xml:space="preserve">Engenharia Radiotécnica de Radares</t>
  </si>
  <si>
    <t xml:space="preserve">Engenharia Rural</t>
  </si>
  <si>
    <t xml:space="preserve">Engenharia Tecnologia e Sistemas de Informação</t>
  </si>
  <si>
    <t xml:space="preserve">Engenharia Termotécnica</t>
  </si>
  <si>
    <t xml:space="preserve">Engenharia Zootécnica</t>
  </si>
  <si>
    <t xml:space="preserve">Ensino Básico</t>
  </si>
  <si>
    <t xml:space="preserve">Ensino de  Língua, Cultura e Literatura Chinesa</t>
  </si>
  <si>
    <t xml:space="preserve">Ensino de Agro-pecuária</t>
  </si>
  <si>
    <t xml:space="preserve">Ensino de Biologia</t>
  </si>
  <si>
    <t xml:space="preserve">Ensino de Ciências Naturais</t>
  </si>
  <si>
    <t xml:space="preserve">Ensino de Desenho</t>
  </si>
  <si>
    <t xml:space="preserve">Ensino de Educação Física e Desporto Escolar</t>
  </si>
  <si>
    <t xml:space="preserve">Ensino de Electrónica</t>
  </si>
  <si>
    <t xml:space="preserve">Ensino de Filosofia</t>
  </si>
  <si>
    <t xml:space="preserve">Ensino de Física</t>
  </si>
  <si>
    <t xml:space="preserve">Ensino de Francês</t>
  </si>
  <si>
    <t xml:space="preserve">Ensino de Geografia</t>
  </si>
  <si>
    <t xml:space="preserve">Ensino de geografia, Planificação e Desenvolvimento Municipal</t>
  </si>
  <si>
    <t xml:space="preserve">Ensino de Historia</t>
  </si>
  <si>
    <t xml:space="preserve">Ensino de Historia e Geografia</t>
  </si>
  <si>
    <t xml:space="preserve">Ensino de Informática</t>
  </si>
  <si>
    <t xml:space="preserve">Ensino de Inglês</t>
  </si>
  <si>
    <t xml:space="preserve">Ensino de Língua Portuguesa</t>
  </si>
  <si>
    <t xml:space="preserve">Ensino de Línguas Bantu</t>
  </si>
  <si>
    <t xml:space="preserve">Ensino de Matemática</t>
  </si>
  <si>
    <t xml:space="preserve">Ensino de Português</t>
  </si>
  <si>
    <t xml:space="preserve">Ensino de Português como Segunda Língua</t>
  </si>
  <si>
    <t xml:space="preserve">Ensino de Quimica</t>
  </si>
  <si>
    <t xml:space="preserve">Epidemiologia de Campo e Laboratorial</t>
  </si>
  <si>
    <t xml:space="preserve">Estado -Maior Conjunto</t>
  </si>
  <si>
    <t xml:space="preserve">Estatística</t>
  </si>
  <si>
    <t xml:space="preserve">Estatística e Planificação em Saúde Pública</t>
  </si>
  <si>
    <t xml:space="preserve">Estatística em Gestão de Informação</t>
  </si>
  <si>
    <t xml:space="preserve">Estudos de Desenvolvimento</t>
  </si>
  <si>
    <t xml:space="preserve">Estudos de Ensino Superior e Desenvolvimento</t>
  </si>
  <si>
    <t xml:space="preserve">Ética</t>
  </si>
  <si>
    <t xml:space="preserve">Farmácia</t>
  </si>
  <si>
    <t xml:space="preserve">Farmácia e Controle de Qualidade de Medicamentos</t>
  </si>
  <si>
    <t xml:space="preserve">Filosofia</t>
  </si>
  <si>
    <t xml:space="preserve">Filosofia e Ética</t>
  </si>
  <si>
    <t xml:space="preserve">Filosofia em Desenvolvimento Institucional</t>
  </si>
  <si>
    <t xml:space="preserve">Finanças</t>
  </si>
  <si>
    <t xml:space="preserve">Finanças e Comércio Internacional</t>
  </si>
  <si>
    <t xml:space="preserve">Finanças Empresariais</t>
  </si>
  <si>
    <t xml:space="preserve">Física</t>
  </si>
  <si>
    <t xml:space="preserve">Física  Aplicada</t>
  </si>
  <si>
    <t xml:space="preserve">Física Educacional</t>
  </si>
  <si>
    <t xml:space="preserve">Fisioterapia</t>
  </si>
  <si>
    <t xml:space="preserve">Formação de Formadores</t>
  </si>
  <si>
    <t xml:space="preserve">Fuzileiros Navais</t>
  </si>
  <si>
    <t xml:space="preserve">Género e Desenvolvimento</t>
  </si>
  <si>
    <t xml:space="preserve">Geografia</t>
  </si>
  <si>
    <t xml:space="preserve">Geologia</t>
  </si>
  <si>
    <t xml:space="preserve">Geologia Aplicada</t>
  </si>
  <si>
    <t xml:space="preserve">Geologia e Minas</t>
  </si>
  <si>
    <t xml:space="preserve">Geologia Marinha</t>
  </si>
  <si>
    <t xml:space="preserve">Gest?ao Aduaneira e Comercio Internacional</t>
  </si>
  <si>
    <t xml:space="preserve">Gestão</t>
  </si>
  <si>
    <t xml:space="preserve">Gestão Aduaneira</t>
  </si>
  <si>
    <t xml:space="preserve">Gestão Ambiental</t>
  </si>
  <si>
    <t xml:space="preserve">Gestão Ambiental e Desenvolvimento Comunitário</t>
  </si>
  <si>
    <t xml:space="preserve">Gestão Ambiental e Desenvolvimento Rural</t>
  </si>
  <si>
    <t xml:space="preserve">Gestão Ambiental e Higiene e Segurança no Trabalho</t>
  </si>
  <si>
    <t xml:space="preserve">Gestão Ambiental e Recursos Hídricos</t>
  </si>
  <si>
    <t xml:space="preserve">Gestão Bancaria e Mercados Financeiros</t>
  </si>
  <si>
    <t xml:space="preserve">Gestão Bancaria e Seguros</t>
  </si>
  <si>
    <t xml:space="preserve">Gestão Comercial</t>
  </si>
  <si>
    <t xml:space="preserve">Gestão das Organizações</t>
  </si>
  <si>
    <t xml:space="preserve">Gestão das Organizações e Responsabilidade Coorporativa</t>
  </si>
  <si>
    <t xml:space="preserve">Gestão de Agronegócios</t>
  </si>
  <si>
    <t xml:space="preserve">Gestão de Desenvolvimento</t>
  </si>
  <si>
    <t xml:space="preserve">Gestão de Empresas</t>
  </si>
  <si>
    <t xml:space="preserve">Gestão de Empresas (MBA)</t>
  </si>
  <si>
    <t xml:space="preserve">Gestão de Empresas e Contabilidade</t>
  </si>
  <si>
    <t xml:space="preserve">Gestão de Empresas e Liderança</t>
  </si>
  <si>
    <t xml:space="preserve">Gestão de Empresas e Recursos Humanos</t>
  </si>
  <si>
    <t xml:space="preserve">Gestão de Empresas Turísticas</t>
  </si>
  <si>
    <t xml:space="preserve">Gestão de Marketing</t>
  </si>
  <si>
    <t xml:space="preserve">Gestão de Marketing e Relações Públicas</t>
  </si>
  <si>
    <t xml:space="preserve">Gestão de Meio Ambiente e Recursos Naturais</t>
  </si>
  <si>
    <t xml:space="preserve">Gestão de Mercados Turísticos</t>
  </si>
  <si>
    <t xml:space="preserve">Gestão de Negócios</t>
  </si>
  <si>
    <t xml:space="preserve">Gestão de Negócios de Petróleo e Gás</t>
  </si>
  <si>
    <t xml:space="preserve">Gestão de Politicas Económicas</t>
  </si>
  <si>
    <t xml:space="preserve">Gestão de Projectos</t>
  </si>
  <si>
    <t xml:space="preserve">Gestão de Projectos de Desenvolvimento Sustentável</t>
  </si>
  <si>
    <t xml:space="preserve">Gestão de Projectos e Activos Estratégicos</t>
  </si>
  <si>
    <t xml:space="preserve">Gestão de Recursos Florestais e Faunísticos</t>
  </si>
  <si>
    <t xml:space="preserve">Gestão de Recursos Humanos</t>
  </si>
  <si>
    <t xml:space="preserve">Gestão de Recursos Humanos e Liderança</t>
  </si>
  <si>
    <t xml:space="preserve">Gestão de Recursos Humanos e Negociação</t>
  </si>
  <si>
    <t xml:space="preserve">Gestão de Recursos Humanos e Relações Laborais</t>
  </si>
  <si>
    <t xml:space="preserve">Gestão de Recursos Minerais</t>
  </si>
  <si>
    <t xml:space="preserve">Gestão de Recursos Naturais</t>
  </si>
  <si>
    <t xml:space="preserve">Gestão de Relações Públicas e Marketing Estratégico</t>
  </si>
  <si>
    <t xml:space="preserve">Gestão de Riscos Ambientais</t>
  </si>
  <si>
    <t xml:space="preserve">Gestão de Sistemas de Energias Renováveis</t>
  </si>
  <si>
    <t xml:space="preserve">Gestão de Sistemas de Informação</t>
  </si>
  <si>
    <t xml:space="preserve">Gestão de Sistemas Integrados em Qualidade, Ambiente e Segurança</t>
  </si>
  <si>
    <t xml:space="preserve">Gestão de Sólos e Água</t>
  </si>
  <si>
    <t xml:space="preserve">Gestão do Desporto</t>
  </si>
  <si>
    <t xml:space="preserve">Gestão do Meio Ambiente</t>
  </si>
  <si>
    <t xml:space="preserve">Gestão do Pessoal</t>
  </si>
  <si>
    <t xml:space="preserve">Gestão do Risco de Desastres e Adaptação a Mudanças Climáticas</t>
  </si>
  <si>
    <t xml:space="preserve">Gestão dos Medias Digitais</t>
  </si>
  <si>
    <t xml:space="preserve">Gestão e Administração de Negócios (MBA)</t>
  </si>
  <si>
    <t xml:space="preserve">Gestão e Administração Educacional</t>
  </si>
  <si>
    <t xml:space="preserve">Gestão e Contabilidade</t>
  </si>
  <si>
    <t xml:space="preserve">Gestão e Estudos Culturais</t>
  </si>
  <si>
    <t xml:space="preserve">Gestão e Informática</t>
  </si>
  <si>
    <t xml:space="preserve">Gestão e Liderança de Pessoas</t>
  </si>
  <si>
    <t xml:space="preserve">Gestão e Planeamento Ambiental</t>
  </si>
  <si>
    <t xml:space="preserve">Gestão e Tecnologia de Construção</t>
  </si>
  <si>
    <t xml:space="preserve">Gestão em Agro - Sistemas</t>
  </si>
  <si>
    <t xml:space="preserve">Gestão Empresarial</t>
  </si>
  <si>
    <t xml:space="preserve">Gestão Escolar</t>
  </si>
  <si>
    <t xml:space="preserve">Gestão Estratégica de Recursos Humanos</t>
  </si>
  <si>
    <t xml:space="preserve">Gestão Farmaceutica</t>
  </si>
  <si>
    <t xml:space="preserve">Gestão Financeira</t>
  </si>
  <si>
    <t xml:space="preserve">Gestão Financeira e Bancária</t>
  </si>
  <si>
    <t xml:space="preserve">Gestão Financeira e de Seguros</t>
  </si>
  <si>
    <t xml:space="preserve">Gestão Hoteleira</t>
  </si>
  <si>
    <t xml:space="preserve">Gestão Hoteleira e Turismo</t>
  </si>
  <si>
    <t xml:space="preserve">Gestão Logística</t>
  </si>
  <si>
    <t xml:space="preserve">Gestão Portuária</t>
  </si>
  <si>
    <t xml:space="preserve">Gestão pública e Autárquica</t>
  </si>
  <si>
    <t xml:space="preserve">Gestão Social e Desenvolvimento Local</t>
  </si>
  <si>
    <t xml:space="preserve">Gestão Turística</t>
  </si>
  <si>
    <t xml:space="preserve">Governação e Administração Publica</t>
  </si>
  <si>
    <t xml:space="preserve">Hidráulica e Recursos Hídricos</t>
  </si>
  <si>
    <t xml:space="preserve">Higiene e segurança no trabalho</t>
  </si>
  <si>
    <t xml:space="preserve">História</t>
  </si>
  <si>
    <t xml:space="preserve">História de África Contemporânea</t>
  </si>
  <si>
    <t xml:space="preserve">Historia de Moçambique e Africa Austral</t>
  </si>
  <si>
    <t xml:space="preserve">História e Geografia</t>
  </si>
  <si>
    <t xml:space="preserve">História Política e Gestão Pública</t>
  </si>
  <si>
    <t xml:space="preserve">Infantaria</t>
  </si>
  <si>
    <t xml:space="preserve">Informação Turística</t>
  </si>
  <si>
    <t xml:space="preserve">Informática</t>
  </si>
  <si>
    <t xml:space="preserve">Informática Aplicada</t>
  </si>
  <si>
    <t xml:space="preserve">Informática de Economia e Gestão</t>
  </si>
  <si>
    <t xml:space="preserve">Informática de Gestão</t>
  </si>
  <si>
    <t xml:space="preserve">Informática de Sistemas</t>
  </si>
  <si>
    <t xml:space="preserve">Informática Educacional</t>
  </si>
  <si>
    <t xml:space="preserve">Informática Ramo de Engenharia de Software</t>
  </si>
  <si>
    <t xml:space="preserve">Informática Ramo de Sistemas de Informação</t>
  </si>
  <si>
    <t xml:space="preserve">Inglês</t>
  </si>
  <si>
    <t xml:space="preserve">Inovação Educativa</t>
  </si>
  <si>
    <t xml:space="preserve">Instrumentação</t>
  </si>
  <si>
    <t xml:space="preserve">Instrumentação de Sala de Operações</t>
  </si>
  <si>
    <t xml:space="preserve">Interpretação de Conferências</t>
  </si>
  <si>
    <t xml:space="preserve">Jornalismo</t>
  </si>
  <si>
    <t xml:space="preserve">Jornalismo e  Medias Digitais</t>
  </si>
  <si>
    <t xml:space="preserve">Língua Cultura e Sociedade</t>
  </si>
  <si>
    <t xml:space="preserve">Língua de Sinais de Moçambique</t>
  </si>
  <si>
    <t xml:space="preserve">Língua de Sinais de Moçambique - Vertente de Ensino</t>
  </si>
  <si>
    <t xml:space="preserve">Língua de Sinais de Moçambique - Vertente de Interpretação</t>
  </si>
  <si>
    <t xml:space="preserve">Língua e Literatura Portuguêsa</t>
  </si>
  <si>
    <t xml:space="preserve">Lingua e Sociedade</t>
  </si>
  <si>
    <t xml:space="preserve">Lingua, Cultura e Literatura Chinesa</t>
  </si>
  <si>
    <t xml:space="preserve">Linguística</t>
  </si>
  <si>
    <t xml:space="preserve">Linguistica Bantu</t>
  </si>
  <si>
    <t xml:space="preserve">Linguística e Literatura</t>
  </si>
  <si>
    <t xml:space="preserve">Literatura Moçambicana</t>
  </si>
  <si>
    <t xml:space="preserve">Literaturas Africanas em Lingua Portuguesa</t>
  </si>
  <si>
    <t xml:space="preserve">Logística Empresarial e Portuária</t>
  </si>
  <si>
    <t xml:space="preserve">Maneio e Conservação da Biodiversidade</t>
  </si>
  <si>
    <t xml:space="preserve">Marketing</t>
  </si>
  <si>
    <t xml:space="preserve">Marketing e Publicidade</t>
  </si>
  <si>
    <t xml:space="preserve">Marketing e Relações Publicas</t>
  </si>
  <si>
    <t xml:space="preserve">Matemática</t>
  </si>
  <si>
    <t xml:space="preserve">Medição e Orçamento de Projectos</t>
  </si>
  <si>
    <t xml:space="preserve">Medicina</t>
  </si>
  <si>
    <t xml:space="preserve">Medicina Dentária</t>
  </si>
  <si>
    <t xml:space="preserve">Medicina Geral</t>
  </si>
  <si>
    <t xml:space="preserve">Medicina Tropical e Saúde Internacional</t>
  </si>
  <si>
    <t xml:space="preserve">Medicina Veterinária</t>
  </si>
  <si>
    <t xml:space="preserve">Medicina Veterinária Preventiva</t>
  </si>
  <si>
    <t xml:space="preserve">Meteorologia</t>
  </si>
  <si>
    <t xml:space="preserve">Mudanças Climáticas Gestão de Recursos Naturais</t>
  </si>
  <si>
    <t xml:space="preserve">Multimédia</t>
  </si>
  <si>
    <t xml:space="preserve">Música</t>
  </si>
  <si>
    <t xml:space="preserve">Navegação Marítima</t>
  </si>
  <si>
    <t xml:space="preserve">Nutrição</t>
  </si>
  <si>
    <t xml:space="preserve">Nutrição Clínica</t>
  </si>
  <si>
    <t xml:space="preserve">Nutrição e Segurança Alimentar</t>
  </si>
  <si>
    <t xml:space="preserve">Nutrição e Tecnologia Alimentar</t>
  </si>
  <si>
    <t xml:space="preserve">Oceanografia</t>
  </si>
  <si>
    <t xml:space="preserve">Oceanografia Aplicada</t>
  </si>
  <si>
    <t xml:space="preserve">Optometria</t>
  </si>
  <si>
    <t xml:space="preserve">Orçamentação</t>
  </si>
  <si>
    <t xml:space="preserve">Ordenamento do Território e Gestão Urbana</t>
  </si>
  <si>
    <t xml:space="preserve">Organização e Gestão da Educação</t>
  </si>
  <si>
    <t xml:space="preserve">Organização e Gestão Pedagógica</t>
  </si>
  <si>
    <t xml:space="preserve">Património e Desenvolvimento</t>
  </si>
  <si>
    <t xml:space="preserve">Paz, Democracia, Movimentos Sociais e Desenvolvimento Humano</t>
  </si>
  <si>
    <t xml:space="preserve">Pedagogia</t>
  </si>
  <si>
    <t xml:space="preserve">Pedagogia do Ensino Superior e Qualidade de Ensino</t>
  </si>
  <si>
    <t xml:space="preserve">Pedagogia e Didáctica</t>
  </si>
  <si>
    <t xml:space="preserve">Pedagogia e Didáctica em Saúde</t>
  </si>
  <si>
    <t xml:space="preserve">Pescaria Sustentável</t>
  </si>
  <si>
    <t xml:space="preserve">Pilotos Aviador</t>
  </si>
  <si>
    <t xml:space="preserve">Planeamento e Desenvolvimento Regional</t>
  </si>
  <si>
    <t xml:space="preserve">Planeamento e Gestão de Assentamentos Informais</t>
  </si>
  <si>
    <t xml:space="preserve">Planeamento e Ordenamento Territorial</t>
  </si>
  <si>
    <t xml:space="preserve">Planeamento Regional, Distrital e Urbano</t>
  </si>
  <si>
    <t xml:space="preserve">Planeamento Territorial e Ambiente</t>
  </si>
  <si>
    <t xml:space="preserve">Planeamento Territorial e Conservação da Biodiversidade</t>
  </si>
  <si>
    <t xml:space="preserve">População e Desenvolvimento</t>
  </si>
  <si>
    <t xml:space="preserve">Português</t>
  </si>
  <si>
    <t xml:space="preserve">Produção Agrícola</t>
  </si>
  <si>
    <t xml:space="preserve">Produção Animal</t>
  </si>
  <si>
    <t xml:space="preserve">Produção Pesqueira</t>
  </si>
  <si>
    <t xml:space="preserve">Produção Vegetal</t>
  </si>
  <si>
    <t xml:space="preserve">Profissional em Administração Pública</t>
  </si>
  <si>
    <t xml:space="preserve">Profissional Superior em Administração Pública</t>
  </si>
  <si>
    <t xml:space="preserve">Promoção a Oficial Superior</t>
  </si>
  <si>
    <t xml:space="preserve">Psicologia</t>
  </si>
  <si>
    <t xml:space="preserve">Psicologia  Clinica  e Psicoterapia Psicodinámica</t>
  </si>
  <si>
    <t xml:space="preserve">Psicologia Clínica</t>
  </si>
  <si>
    <t xml:space="preserve">Psicologia Clínica e Assistência Social</t>
  </si>
  <si>
    <t xml:space="preserve">Psicologia Clinica e de Aconselhamento</t>
  </si>
  <si>
    <t xml:space="preserve">Psicologia Clinica e Socio-Educacional</t>
  </si>
  <si>
    <t xml:space="preserve">Psicologia Criminal</t>
  </si>
  <si>
    <t xml:space="preserve">Psicologia da Educação</t>
  </si>
  <si>
    <t xml:space="preserve">Psicologia das Organizações</t>
  </si>
  <si>
    <t xml:space="preserve">Psicologia das Organizações e do Trabalho</t>
  </si>
  <si>
    <t xml:space="preserve">Psicologia e Saúde no Trabalho</t>
  </si>
  <si>
    <t xml:space="preserve">Psicologia Educacional</t>
  </si>
  <si>
    <t xml:space="preserve">Psicologia Escolar</t>
  </si>
  <si>
    <t xml:space="preserve">Psicologia Escolar e das Organizações</t>
  </si>
  <si>
    <t xml:space="preserve">Psicologia Escolar e de Necessidades Educativas Especiais</t>
  </si>
  <si>
    <t xml:space="preserve">Psicologia Organizacional</t>
  </si>
  <si>
    <t xml:space="preserve">Psicologia Social e Comunitária</t>
  </si>
  <si>
    <t xml:space="preserve">Psicologia Social e das Organizações</t>
  </si>
  <si>
    <t xml:space="preserve">Psicologia Social e do Trabalho</t>
  </si>
  <si>
    <t xml:space="preserve">Psicologia.Orientação em psicologia das Organizações</t>
  </si>
  <si>
    <t xml:space="preserve">Psicopedagogia</t>
  </si>
  <si>
    <t xml:space="preserve">Publicidade e Marketing</t>
  </si>
  <si>
    <t xml:space="preserve">Química</t>
  </si>
  <si>
    <t xml:space="preserve">Química Ambiental</t>
  </si>
  <si>
    <t xml:space="preserve">Química de Produtos Naturais</t>
  </si>
  <si>
    <t xml:space="preserve">Química e Processamento de Recursos Locais</t>
  </si>
  <si>
    <t xml:space="preserve">Química Industrial</t>
  </si>
  <si>
    <t xml:space="preserve">Química Marinha</t>
  </si>
  <si>
    <t xml:space="preserve">Radiologia</t>
  </si>
  <si>
    <t xml:space="preserve">Reconhecimento das Tropas</t>
  </si>
  <si>
    <t xml:space="preserve">Recursos Florestais e Faunísticos</t>
  </si>
  <si>
    <t xml:space="preserve">Recursos Hídricos e Geohidrologia</t>
  </si>
  <si>
    <t xml:space="preserve">Relações Internacionais</t>
  </si>
  <si>
    <t xml:space="preserve">Relações Internacionais e Desenvolvimento</t>
  </si>
  <si>
    <t xml:space="preserve">Relações Internacionais e Diplomacia</t>
  </si>
  <si>
    <t xml:space="preserve">Relações Internacionais e Liderança</t>
  </si>
  <si>
    <t xml:space="preserve">Relações Públicas</t>
  </si>
  <si>
    <t xml:space="preserve">Relações Públicas e Acessoria de Direcção</t>
  </si>
  <si>
    <t xml:space="preserve">Relações Públicas em Comunicação Estratégica</t>
  </si>
  <si>
    <t xml:space="preserve">Riscos Complexos</t>
  </si>
  <si>
    <t xml:space="preserve">Saúde Mental e de Psicointervenções</t>
  </si>
  <si>
    <t xml:space="preserve">Saúde Pública</t>
  </si>
  <si>
    <t xml:space="preserve">Saúde Pública e Medicina Tropical</t>
  </si>
  <si>
    <t xml:space="preserve">Saúde Pública -Saúde Materno Infantil</t>
  </si>
  <si>
    <t xml:space="preserve">Saúde Pública-Pulitícas e Gestão em Saúde</t>
  </si>
  <si>
    <t xml:space="preserve">Saúde Segurança e Meio Ambiente</t>
  </si>
  <si>
    <t xml:space="preserve">Segurança de Alimentos</t>
  </si>
  <si>
    <t xml:space="preserve">Segurança Marítima</t>
  </si>
  <si>
    <t xml:space="preserve">Serviço Social</t>
  </si>
  <si>
    <t xml:space="preserve">Serviço Social e Desenvolvimento</t>
  </si>
  <si>
    <t xml:space="preserve">Serviço Social e Saúde Mental</t>
  </si>
  <si>
    <t xml:space="preserve">Sistemas de Informação</t>
  </si>
  <si>
    <t xml:space="preserve">Sistemas de Informação Geográfico e Monitoria de Recursos Naturais</t>
  </si>
  <si>
    <t xml:space="preserve">Sistemas de Informação para Gestão Ambiental</t>
  </si>
  <si>
    <t xml:space="preserve">Sistemas e Redes Computacionais</t>
  </si>
  <si>
    <t xml:space="preserve">Sociologia</t>
  </si>
  <si>
    <t xml:space="preserve">Sociologia do Desenvolvimento</t>
  </si>
  <si>
    <t xml:space="preserve">Sociologia do Trabalho e das Organizações</t>
  </si>
  <si>
    <t xml:space="preserve">Sociologia Rural e Gestão do Desenvolvimento</t>
  </si>
  <si>
    <t xml:space="preserve">Solos e Agricultura Sustentável</t>
  </si>
  <si>
    <t xml:space="preserve">Teatro</t>
  </si>
  <si>
    <t xml:space="preserve">Tecnologia Biomédica Laboratorial</t>
  </si>
  <si>
    <t xml:space="preserve">Tecnologia de Alimentos</t>
  </si>
  <si>
    <t xml:space="preserve">Tecnologia de Processamento de Alimentos</t>
  </si>
  <si>
    <t xml:space="preserve">Tecnologia e Utilização de Madeira</t>
  </si>
  <si>
    <t xml:space="preserve">Tecnologias de Informação e Comunicação</t>
  </si>
  <si>
    <t xml:space="preserve">Tecnologias e Sistemas de Informação</t>
  </si>
  <si>
    <t xml:space="preserve">Teologia</t>
  </si>
  <si>
    <t xml:space="preserve">Teologia e Ciências de Educação</t>
  </si>
  <si>
    <t xml:space="preserve">Terapia da Fala</t>
  </si>
  <si>
    <t xml:space="preserve">Terapia Familiar e Comunitária</t>
  </si>
  <si>
    <t xml:space="preserve">Terapia Ocupacional</t>
  </si>
  <si>
    <t xml:space="preserve">Trabalho, Formação e Recursos Humanos</t>
  </si>
  <si>
    <t xml:space="preserve">Tradução e Interpretação de Conferencias</t>
  </si>
  <si>
    <t xml:space="preserve">Tradução e Interpretação de Português/Francês</t>
  </si>
  <si>
    <t xml:space="preserve">Tradução e Interpretação de Português/Inglês</t>
  </si>
  <si>
    <t xml:space="preserve">Tradução Francês/Português</t>
  </si>
  <si>
    <t xml:space="preserve">Tradução Inglês/Português</t>
  </si>
  <si>
    <t xml:space="preserve">Treino Desportivo para Crianças e Jovens</t>
  </si>
  <si>
    <t xml:space="preserve">Turismo e Gestão de Empresas Turísticas</t>
  </si>
  <si>
    <t xml:space="preserve">Turismo e Hotelaria</t>
  </si>
  <si>
    <t xml:space="preserve">Urbanismo e Ordenamento do Território</t>
  </si>
  <si>
    <t xml:space="preserve">Zootecnia</t>
  </si>
  <si>
    <t xml:space="preserve">Zicotinhos</t>
  </si>
</sst>
</file>

<file path=xl/styles.xml><?xml version="1.0" encoding="utf-8"?>
<styleSheet xmlns="http://schemas.openxmlformats.org/spreadsheetml/2006/main">
  <numFmts count="3">
    <numFmt numFmtId="164" formatCode="General"/>
    <numFmt numFmtId="165" formatCode="@"/>
    <numFmt numFmtId="166" formatCode="0"/>
  </numFmts>
  <fonts count="45">
    <font>
      <sz val="10"/>
      <name val="Arial"/>
      <family val="2"/>
    </font>
    <font>
      <sz val="10"/>
      <name val="Arial"/>
      <family val="0"/>
    </font>
    <font>
      <sz val="10"/>
      <name val="Arial"/>
      <family val="0"/>
    </font>
    <font>
      <sz val="10"/>
      <name val="Arial"/>
      <family val="0"/>
    </font>
    <font>
      <sz val="11"/>
      <name val="Dubayy"/>
      <family val="0"/>
    </font>
    <font>
      <sz val="11"/>
      <color rgb="FFFFFFFF"/>
      <name val="Dubayy"/>
      <family val="0"/>
    </font>
    <font>
      <sz val="11"/>
      <color rgb="FFFF0000"/>
      <name val="Dubayy"/>
      <family val="0"/>
    </font>
    <font>
      <b val="true"/>
      <sz val="15"/>
      <name val="Dubayy"/>
      <family val="0"/>
    </font>
    <font>
      <sz val="9"/>
      <name val="Dubayy"/>
      <family val="0"/>
    </font>
    <font>
      <b val="true"/>
      <sz val="11"/>
      <name val="Dubayy"/>
      <family val="0"/>
    </font>
    <font>
      <b val="true"/>
      <sz val="11"/>
      <color rgb="FF000000"/>
      <name val="Dubayy"/>
      <family val="0"/>
    </font>
    <font>
      <b val="true"/>
      <sz val="11"/>
      <color rgb="FFFF0000"/>
      <name val="Dubayy"/>
      <family val="0"/>
    </font>
    <font>
      <sz val="11"/>
      <color rgb="FF000000"/>
      <name val="Dubayy"/>
      <family val="0"/>
    </font>
    <font>
      <b val="true"/>
      <sz val="12"/>
      <color rgb="FFFF0000"/>
      <name val="Kelly Slab"/>
      <family val="0"/>
    </font>
    <font>
      <sz val="12"/>
      <color rgb="FFFF0000"/>
      <name val="Kelly Slab"/>
      <family val="0"/>
    </font>
    <font>
      <sz val="10"/>
      <color rgb="FF000000"/>
      <name val="Calibri"/>
      <family val="2"/>
    </font>
    <font>
      <sz val="10"/>
      <name val="Dubayy"/>
      <family val="0"/>
    </font>
    <font>
      <sz val="10"/>
      <name val="Calibri "/>
      <family val="0"/>
    </font>
    <font>
      <b val="true"/>
      <sz val="11"/>
      <color rgb="FF008000"/>
      <name val="Dubayy"/>
      <family val="0"/>
    </font>
    <font>
      <sz val="12"/>
      <color rgb="FF000000"/>
      <name val="Calibri"/>
      <family val="2"/>
    </font>
    <font>
      <sz val="11"/>
      <color rgb="FF993300"/>
      <name val="Calibri"/>
      <family val="2"/>
    </font>
    <font>
      <b val="true"/>
      <sz val="10"/>
      <color rgb="FFFF0000"/>
      <name val="Dubayy"/>
      <family val="0"/>
    </font>
    <font>
      <b val="true"/>
      <sz val="10"/>
      <color rgb="FFFFFFFF"/>
      <name val="Calibri"/>
      <family val="2"/>
    </font>
    <font>
      <sz val="15"/>
      <color rgb="FFFFFFFF"/>
      <name val="Arial"/>
      <family val="2"/>
    </font>
    <font>
      <sz val="15"/>
      <color rgb="FFFFFFFF"/>
      <name val="Dubayy"/>
      <family val="0"/>
    </font>
    <font>
      <sz val="10"/>
      <color rgb="FF003366"/>
      <name val="Arial"/>
      <family val="2"/>
    </font>
    <font>
      <b val="true"/>
      <sz val="10"/>
      <name val="Dubayy"/>
      <family val="0"/>
    </font>
    <font>
      <sz val="10"/>
      <color rgb="FFFFFFFF"/>
      <name val="Dubayy"/>
      <family val="0"/>
    </font>
    <font>
      <sz val="10"/>
      <color rgb="FFFF0000"/>
      <name val="Dubayy"/>
      <family val="0"/>
    </font>
    <font>
      <sz val="10"/>
      <color rgb="FFFFFFFF"/>
      <name val="Calibri"/>
      <family val="2"/>
    </font>
    <font>
      <sz val="10"/>
      <color rgb="FFFFFFFF"/>
      <name val="Arial"/>
      <family val="2"/>
    </font>
    <font>
      <b val="true"/>
      <sz val="10"/>
      <color rgb="FFFF0000"/>
      <name val="Calibri"/>
      <family val="2"/>
    </font>
    <font>
      <sz val="11"/>
      <color rgb="FFFFFFFF"/>
      <name val="Calibri"/>
      <family val="2"/>
    </font>
    <font>
      <b val="true"/>
      <sz val="11"/>
      <color rgb="FFFFFFFF"/>
      <name val="Calibri"/>
      <family val="2"/>
    </font>
    <font>
      <b val="true"/>
      <sz val="15"/>
      <color rgb="FFFFFFFF"/>
      <name val="Arial"/>
      <family val="2"/>
    </font>
    <font>
      <b val="true"/>
      <sz val="15"/>
      <color rgb="FFFF0000"/>
      <name val="Calibri"/>
      <family val="2"/>
    </font>
    <font>
      <b val="true"/>
      <sz val="15"/>
      <color rgb="FFFF0000"/>
      <name val="Arial"/>
      <family val="2"/>
    </font>
    <font>
      <b val="true"/>
      <sz val="11"/>
      <name val="Calibri"/>
      <family val="2"/>
    </font>
    <font>
      <b val="true"/>
      <sz val="15"/>
      <color rgb="FFFFFFFF"/>
      <name val="Calibri"/>
      <family val="2"/>
    </font>
    <font>
      <sz val="11"/>
      <color rgb="FFFF0000"/>
      <name val="Calibri"/>
      <family val="2"/>
    </font>
    <font>
      <b val="true"/>
      <sz val="11"/>
      <color rgb="FFFF0000"/>
      <name val="Calibri"/>
      <family val="2"/>
    </font>
    <font>
      <b val="true"/>
      <sz val="10"/>
      <color rgb="FFFFFFFF"/>
      <name val="Arial"/>
      <family val="2"/>
    </font>
    <font>
      <b val="true"/>
      <sz val="10"/>
      <color rgb="FFFF0000"/>
      <name val="Arial"/>
      <family val="2"/>
    </font>
    <font>
      <sz val="10"/>
      <color rgb="FFFF0000"/>
      <name val="Calibri"/>
      <family val="2"/>
    </font>
    <font>
      <sz val="20"/>
      <color rgb="FFFF0000"/>
      <name val="Dubayy"/>
      <family val="0"/>
    </font>
  </fonts>
  <fills count="6">
    <fill>
      <patternFill patternType="none"/>
    </fill>
    <fill>
      <patternFill patternType="gray125"/>
    </fill>
    <fill>
      <patternFill patternType="solid">
        <fgColor rgb="FFFFFF99"/>
        <bgColor rgb="FFFFFFCC"/>
      </patternFill>
    </fill>
    <fill>
      <patternFill patternType="solid">
        <fgColor rgb="FFFFFFFF"/>
        <bgColor rgb="FFFFFFCC"/>
      </patternFill>
    </fill>
    <fill>
      <patternFill patternType="solid">
        <fgColor rgb="FFC0C0C0"/>
        <bgColor rgb="FFCCCCFF"/>
      </patternFill>
    </fill>
    <fill>
      <patternFill patternType="solid">
        <fgColor rgb="FFFFFF00"/>
        <bgColor rgb="FFFFFF00"/>
      </patternFill>
    </fill>
  </fills>
  <borders count="71">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thin"/>
      <top style="thin"/>
      <bottom style="thin"/>
      <diagonal/>
    </border>
    <border diagonalUp="false" diagonalDown="false">
      <left style="thin"/>
      <right style="thin"/>
      <top style="thin"/>
      <bottom style="thin">
        <color rgb="FF00CCFF"/>
      </bottom>
      <diagonal/>
    </border>
    <border diagonalUp="false" diagonalDown="false">
      <left style="thin"/>
      <right style="thin">
        <color rgb="FF00CCFF"/>
      </right>
      <top style="thin"/>
      <bottom style="thin">
        <color rgb="FF00CCFF"/>
      </bottom>
      <diagonal/>
    </border>
    <border diagonalUp="false" diagonalDown="false">
      <left style="thin">
        <color rgb="FF00CCFF"/>
      </left>
      <right style="thin">
        <color rgb="FF00CCFF"/>
      </right>
      <top style="thin"/>
      <bottom style="thin">
        <color rgb="FF00CCFF"/>
      </bottom>
      <diagonal/>
    </border>
    <border diagonalUp="false" diagonalDown="false">
      <left style="thin">
        <color rgb="FF00CCFF"/>
      </left>
      <right style="thin"/>
      <top style="thin"/>
      <bottom style="thin">
        <color rgb="FF00CCFF"/>
      </bottom>
      <diagonal/>
    </border>
    <border diagonalUp="false" diagonalDown="false">
      <left style="thin">
        <color rgb="FF00CCFF"/>
      </left>
      <right/>
      <top style="thin"/>
      <bottom style="thin">
        <color rgb="FF00CCFF"/>
      </bottom>
      <diagonal/>
    </border>
    <border diagonalUp="false" diagonalDown="false">
      <left style="medium"/>
      <right style="thin"/>
      <top style="thin"/>
      <bottom style="thin">
        <color rgb="FF00CCFF"/>
      </bottom>
      <diagonal/>
    </border>
    <border diagonalUp="false" diagonalDown="false">
      <left style="thin"/>
      <right style="thin"/>
      <top style="thin">
        <color rgb="FF00CCFF"/>
      </top>
      <bottom style="thin">
        <color rgb="FF00CCFF"/>
      </bottom>
      <diagonal/>
    </border>
    <border diagonalUp="false" diagonalDown="false">
      <left style="thin"/>
      <right style="thin">
        <color rgb="FF00CCFF"/>
      </right>
      <top style="thin">
        <color rgb="FF00CCFF"/>
      </top>
      <bottom style="thin">
        <color rgb="FF00CCFF"/>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style="thin"/>
      <top style="thin">
        <color rgb="FF00CCFF"/>
      </top>
      <bottom style="thin">
        <color rgb="FF00CCFF"/>
      </bottom>
      <diagonal/>
    </border>
    <border diagonalUp="false" diagonalDown="false">
      <left style="thin">
        <color rgb="FF00CCFF"/>
      </left>
      <right/>
      <top style="thin">
        <color rgb="FF00CCFF"/>
      </top>
      <bottom style="thin">
        <color rgb="FF00CCFF"/>
      </bottom>
      <diagonal/>
    </border>
    <border diagonalUp="false" diagonalDown="false">
      <left style="medium"/>
      <right style="thin"/>
      <top style="thin">
        <color rgb="FF00CCFF"/>
      </top>
      <bottom style="thin">
        <color rgb="FF00CCFF"/>
      </bottom>
      <diagonal/>
    </border>
    <border diagonalUp="false" diagonalDown="false">
      <left style="thin"/>
      <right/>
      <top style="thin">
        <color rgb="FF00CCFF"/>
      </top>
      <bottom style="thin">
        <color rgb="FF00CCFF"/>
      </bottom>
      <diagonal/>
    </border>
    <border diagonalUp="false" diagonalDown="false">
      <left/>
      <right/>
      <top style="thin">
        <color rgb="FF00CCFF"/>
      </top>
      <bottom style="thin">
        <color rgb="FF00CCFF"/>
      </bottom>
      <diagonal/>
    </border>
    <border diagonalUp="false" diagonalDown="false">
      <left style="thin">
        <color rgb="FF00CCFF"/>
      </left>
      <right style="thin"/>
      <top style="thin">
        <color rgb="FF00CCFF"/>
      </top>
      <bottom style="thin"/>
      <diagonal/>
    </border>
    <border diagonalUp="false" diagonalDown="false">
      <left style="thin"/>
      <right style="thin"/>
      <top style="thin">
        <color rgb="FF00CCFF"/>
      </top>
      <bottom style="thin"/>
      <diagonal/>
    </border>
    <border diagonalUp="false" diagonalDown="false">
      <left style="thin"/>
      <right/>
      <top style="thin">
        <color rgb="FF00CCFF"/>
      </top>
      <bottom style="thin"/>
      <diagonal/>
    </border>
    <border diagonalUp="false" diagonalDown="false">
      <left style="thin"/>
      <right style="thin">
        <color rgb="FF00CCFF"/>
      </right>
      <top style="thin">
        <color rgb="FF00CCFF"/>
      </top>
      <bottom style="thin"/>
      <diagonal/>
    </border>
    <border diagonalUp="false" diagonalDown="false">
      <left/>
      <right/>
      <top style="thin">
        <color rgb="FF00CCFF"/>
      </top>
      <bottom style="thin"/>
      <diagonal/>
    </border>
    <border diagonalUp="false" diagonalDown="false">
      <left style="thin"/>
      <right/>
      <top style="thin"/>
      <bottom/>
      <diagonal/>
    </border>
    <border diagonalUp="false" diagonalDown="false">
      <left/>
      <right/>
      <top style="thin"/>
      <bottom/>
      <diagonal/>
    </border>
    <border diagonalUp="false" diagonalDown="false">
      <left/>
      <right/>
      <top style="thin"/>
      <bottom style="thin"/>
      <diagonal/>
    </border>
    <border diagonalUp="false" diagonalDown="false">
      <left style="medium"/>
      <right style="thin"/>
      <top style="thin">
        <color rgb="FF00CCFF"/>
      </top>
      <bottom style="thin"/>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style="medium"/>
      <top style="thin">
        <color rgb="FF00CCFF"/>
      </top>
      <bottom style="thin">
        <color rgb="FF00CCFF"/>
      </bottom>
      <diagonal/>
    </border>
    <border diagonalUp="false" diagonalDown="false">
      <left style="thin"/>
      <right style="medium"/>
      <top style="thin">
        <color rgb="FF00CCFF"/>
      </top>
      <bottom style="thin"/>
      <diagonal/>
    </border>
    <border diagonalUp="false" diagonalDown="false">
      <left style="medium"/>
      <right style="thin"/>
      <top style="thin">
        <color rgb="FF00CCFF"/>
      </top>
      <bottom/>
      <diagonal/>
    </border>
    <border diagonalUp="false" diagonalDown="false">
      <left/>
      <right style="thin"/>
      <top style="thin"/>
      <bottom style="thin">
        <color rgb="FF00CCFF"/>
      </bottom>
      <diagonal/>
    </border>
    <border diagonalUp="false" diagonalDown="false">
      <left/>
      <right style="thin">
        <color rgb="FF00CCFF"/>
      </right>
      <top style="thin"/>
      <bottom style="thin">
        <color rgb="FF00CCFF"/>
      </bottom>
      <diagonal/>
    </border>
    <border diagonalUp="false" diagonalDown="false">
      <left/>
      <right style="thin"/>
      <top style="thin">
        <color rgb="FF00CCFF"/>
      </top>
      <bottom style="thin">
        <color rgb="FF00CCFF"/>
      </bottom>
      <diagonal/>
    </border>
    <border diagonalUp="false" diagonalDown="false">
      <left/>
      <right style="thin">
        <color rgb="FF00CCFF"/>
      </right>
      <top style="thin">
        <color rgb="FF00CCFF"/>
      </top>
      <bottom style="thin">
        <color rgb="FF00CCFF"/>
      </bottom>
      <diagonal/>
    </border>
    <border diagonalUp="false" diagonalDown="false">
      <left style="thin">
        <color rgb="FF00CCFF"/>
      </left>
      <right style="thin">
        <color rgb="FF00CCFF"/>
      </right>
      <top style="thin">
        <color rgb="FF00CCFF"/>
      </top>
      <bottom style="thin"/>
      <diagonal/>
    </border>
    <border diagonalUp="false" diagonalDown="false">
      <left style="thin">
        <color rgb="FF00CCFF"/>
      </left>
      <right/>
      <top style="thin">
        <color rgb="FF00CCFF"/>
      </top>
      <bottom style="thin"/>
      <diagonal/>
    </border>
    <border diagonalUp="false" diagonalDown="false">
      <left/>
      <right style="thin">
        <color rgb="FF00CCFF"/>
      </right>
      <top style="thin">
        <color rgb="FF00CCFF"/>
      </top>
      <bottom style="thin"/>
      <diagonal/>
    </border>
    <border diagonalUp="false" diagonalDown="false">
      <left style="thin"/>
      <right/>
      <top style="thin"/>
      <bottom style="thin">
        <color rgb="FF00CCFF"/>
      </bottom>
      <diagonal/>
    </border>
    <border diagonalUp="false" diagonalDown="false">
      <left style="thin"/>
      <right/>
      <top/>
      <bottom style="thin"/>
      <diagonal/>
    </border>
    <border diagonalUp="false" diagonalDown="false">
      <left style="medium"/>
      <right style="thin">
        <color rgb="FF00CCFF"/>
      </right>
      <top style="thin"/>
      <bottom style="thin">
        <color rgb="FF00CCFF"/>
      </bottom>
      <diagonal/>
    </border>
    <border diagonalUp="false" diagonalDown="false">
      <left style="medium"/>
      <right style="thin">
        <color rgb="FF00CCFF"/>
      </right>
      <top style="thin">
        <color rgb="FF00CCFF"/>
      </top>
      <bottom style="thin">
        <color rgb="FF00CCFF"/>
      </bottom>
      <diagonal/>
    </border>
    <border diagonalUp="false" diagonalDown="false">
      <left style="medium"/>
      <right style="thin">
        <color rgb="FF00CCFF"/>
      </right>
      <top style="thin">
        <color rgb="FF00CCFF"/>
      </top>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medium"/>
      <right style="thin"/>
      <top style="thin"/>
      <bottom/>
      <diagonal/>
    </border>
    <border diagonalUp="false" diagonalDown="false">
      <left style="medium"/>
      <right/>
      <top style="thin"/>
      <bottom style="thin"/>
      <diagonal/>
    </border>
    <border diagonalUp="false" diagonalDown="false">
      <left/>
      <right style="thin">
        <color rgb="FFFFFFFF"/>
      </right>
      <top/>
      <bottom style="thin">
        <color rgb="FFFFFFFF"/>
      </bottom>
      <diagonal/>
    </border>
    <border diagonalUp="false" diagonalDown="false">
      <left style="thin">
        <color rgb="FFFFFFFF"/>
      </left>
      <right style="thin">
        <color rgb="FFFFFFFF"/>
      </right>
      <top/>
      <bottom style="thin">
        <color rgb="FFFFFFFF"/>
      </bottom>
      <diagonal/>
    </border>
    <border diagonalUp="false" diagonalDown="false">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right style="medium"/>
      <top style="thin"/>
      <bottom style="thin"/>
      <diagonal/>
    </border>
    <border diagonalUp="false" diagonalDown="false">
      <left style="thin">
        <color rgb="FF00CCFF"/>
      </left>
      <right style="medium"/>
      <top style="thin"/>
      <bottom style="thin">
        <color rgb="FF00CCFF"/>
      </bottom>
      <diagonal/>
    </border>
    <border diagonalUp="false" diagonalDown="false">
      <left style="thin">
        <color rgb="FF00CCFF"/>
      </left>
      <right style="medium"/>
      <top style="thin">
        <color rgb="FF00CCFF"/>
      </top>
      <bottom style="thin">
        <color rgb="FF00CCFF"/>
      </bottom>
      <diagonal/>
    </border>
    <border diagonalUp="false" diagonalDown="false">
      <left style="thin">
        <color rgb="FF00CCFF"/>
      </left>
      <right style="medium"/>
      <top style="thin">
        <color rgb="FF00CCFF"/>
      </top>
      <bottom style="thin"/>
      <diagonal/>
    </border>
    <border diagonalUp="false" diagonalDown="false">
      <left style="thin"/>
      <right style="thin">
        <color rgb="FF00CCFF"/>
      </right>
      <top style="thin">
        <color rgb="FF00CCFF"/>
      </top>
      <bottom/>
      <diagonal/>
    </border>
    <border diagonalUp="false" diagonalDown="false">
      <left style="thin">
        <color rgb="FF00CCFF"/>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C0C0C0"/>
      </left>
      <right style="thin">
        <color rgb="FFFFFFFF"/>
      </right>
      <top style="thin">
        <color rgb="FFFFFFFF"/>
      </top>
      <bottom style="thin">
        <color rgb="FFFFFFFF"/>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style="thin">
        <color rgb="FFFFFFFF"/>
      </right>
      <top style="thin">
        <color rgb="FFC0C0C0"/>
      </top>
      <bottom style="thin">
        <color rgb="FFFFFFFF"/>
      </bottom>
      <diagonal/>
    </border>
    <border diagonalUp="false" diagonalDown="false">
      <left/>
      <right style="thin">
        <color rgb="FFFFFFFF"/>
      </right>
      <top style="thin">
        <color rgb="FFFFFFFF"/>
      </top>
      <bottom/>
      <diagonal/>
    </border>
    <border diagonalUp="false" diagonalDown="false">
      <left style="thin">
        <color rgb="FFFFFFFF"/>
      </left>
      <right style="thin">
        <color rgb="FFFFFFFF"/>
      </right>
      <top style="thin">
        <color rgb="FFFFFFFF"/>
      </top>
      <bottom/>
      <diagonal/>
    </border>
    <border diagonalUp="false" diagonalDown="false">
      <left style="medium"/>
      <right style="medium"/>
      <top style="thin"/>
      <bottom style="thin"/>
      <diagonal/>
    </border>
    <border diagonalUp="false" diagonalDown="false">
      <left style="medium"/>
      <right style="medium"/>
      <top style="thin"/>
      <bottom style="thin">
        <color rgb="FF00CCFF"/>
      </bottom>
      <diagonal/>
    </border>
    <border diagonalUp="false" diagonalDown="false">
      <left style="medium"/>
      <right style="medium"/>
      <top style="thin">
        <color rgb="FF00CCFF"/>
      </top>
      <bottom style="thin">
        <color rgb="FF00CCFF"/>
      </bottom>
      <diagonal/>
    </border>
    <border diagonalUp="false" diagonalDown="false">
      <left/>
      <right style="thin"/>
      <top style="thin">
        <color rgb="FF00CCFF"/>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0" fillId="2" borderId="0" applyFont="true" applyBorder="false" applyAlignment="false" applyProtection="false"/>
  </cellStyleXfs>
  <cellXfs count="39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general" vertical="center" textRotation="0" wrapText="false" indent="0" shrinkToFit="false"/>
      <protection locked="true" hidden="false"/>
    </xf>
    <xf numFmtId="164" fontId="10" fillId="4" borderId="3" xfId="0" applyFont="tru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center" vertical="center" textRotation="0" wrapText="false" indent="0" shrinkToFit="false"/>
      <protection locked="true" hidden="false"/>
    </xf>
    <xf numFmtId="165" fontId="12" fillId="3" borderId="5" xfId="0" applyFont="true" applyBorder="true" applyAlignment="true" applyProtection="false">
      <alignment horizontal="general" vertical="center" textRotation="0" wrapText="false" indent="0" shrinkToFit="false"/>
      <protection locked="true" hidden="false"/>
    </xf>
    <xf numFmtId="165" fontId="12" fillId="0" borderId="6" xfId="0" applyFont="true" applyBorder="true" applyAlignment="true" applyProtection="false">
      <alignment horizontal="general" vertical="center" textRotation="0" wrapText="false" indent="0" shrinkToFit="false"/>
      <protection locked="true" hidden="false"/>
    </xf>
    <xf numFmtId="165" fontId="12" fillId="0" borderId="7" xfId="0" applyFont="true" applyBorder="true" applyAlignment="true" applyProtection="false">
      <alignment horizontal="general" vertical="center" textRotation="0" wrapText="false" indent="0" shrinkToFit="false"/>
      <protection locked="true" hidden="false"/>
    </xf>
    <xf numFmtId="164" fontId="12" fillId="0" borderId="8" xfId="0" applyFont="true" applyBorder="true" applyAlignment="true" applyProtection="false">
      <alignment horizontal="general" vertical="center" textRotation="0" wrapText="false" indent="0" shrinkToFit="false"/>
      <protection locked="true" hidden="false"/>
    </xf>
    <xf numFmtId="164" fontId="12" fillId="0" borderId="6" xfId="0" applyFont="true" applyBorder="true" applyAlignment="true" applyProtection="false">
      <alignment horizontal="general" vertical="center" textRotation="0" wrapText="false" indent="0" shrinkToFit="false"/>
      <protection locked="true" hidden="false"/>
    </xf>
    <xf numFmtId="164" fontId="12" fillId="0" borderId="7" xfId="0" applyFont="true" applyBorder="true" applyAlignment="true" applyProtection="false">
      <alignment horizontal="general" vertical="center" textRotation="0" wrapText="false" indent="0" shrinkToFit="false"/>
      <protection locked="true" hidden="false"/>
    </xf>
    <xf numFmtId="164" fontId="7" fillId="0" borderId="8" xfId="0" applyFont="true" applyBorder="true" applyAlignment="true" applyProtection="false">
      <alignment horizontal="center" vertical="center" textRotation="0" wrapText="false" indent="0" shrinkToFit="false"/>
      <protection locked="true" hidden="false"/>
    </xf>
    <xf numFmtId="164" fontId="4" fillId="0" borderId="8" xfId="0" applyFont="true" applyBorder="true" applyAlignment="true" applyProtection="false">
      <alignment horizontal="center" vertical="center" textRotation="0" wrapText="false" indent="0" shrinkToFit="false"/>
      <protection locked="true" hidden="false"/>
    </xf>
    <xf numFmtId="164" fontId="12" fillId="0" borderId="6" xfId="0" applyFont="true" applyBorder="true" applyAlignment="true" applyProtection="false">
      <alignment horizontal="center" vertical="center" textRotation="0" wrapText="false" indent="0" shrinkToFit="false"/>
      <protection locked="true" hidden="false"/>
    </xf>
    <xf numFmtId="164" fontId="12" fillId="0" borderId="9"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center" vertical="center"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true" applyAlignment="true" applyProtection="false">
      <alignment horizontal="general" vertical="center" textRotation="0" wrapText="false" indent="0" shrinkToFit="false"/>
      <protection locked="true" hidden="false"/>
    </xf>
    <xf numFmtId="165" fontId="12" fillId="3" borderId="11" xfId="0" applyFont="true" applyBorder="true" applyAlignment="true" applyProtection="false">
      <alignment horizontal="general" vertical="center" textRotation="0" wrapText="false" indent="0" shrinkToFit="false"/>
      <protection locked="true" hidden="false"/>
    </xf>
    <xf numFmtId="165" fontId="12" fillId="0" borderId="12" xfId="0" applyFont="true" applyBorder="true" applyAlignment="true" applyProtection="false">
      <alignment horizontal="general" vertical="center" textRotation="0" wrapText="false" indent="0" shrinkToFit="false"/>
      <protection locked="true" hidden="false"/>
    </xf>
    <xf numFmtId="165" fontId="12" fillId="0" borderId="13" xfId="0" applyFont="true" applyBorder="true" applyAlignment="true" applyProtection="false">
      <alignment horizontal="general" vertical="center" textRotation="0" wrapText="false" indent="0" shrinkToFit="false"/>
      <protection locked="true" hidden="false"/>
    </xf>
    <xf numFmtId="164" fontId="12" fillId="0" borderId="14" xfId="0" applyFont="true" applyBorder="true" applyAlignment="true" applyProtection="false">
      <alignment horizontal="general" vertical="center" textRotation="0" wrapText="false" indent="0" shrinkToFit="false"/>
      <protection locked="true" hidden="false"/>
    </xf>
    <xf numFmtId="164" fontId="12" fillId="0" borderId="12" xfId="0" applyFont="true" applyBorder="true" applyAlignment="true" applyProtection="false">
      <alignment horizontal="general" vertical="center" textRotation="0" wrapText="false" indent="0" shrinkToFit="false"/>
      <protection locked="true" hidden="false"/>
    </xf>
    <xf numFmtId="164" fontId="12" fillId="0" borderId="13" xfId="0" applyFont="true" applyBorder="true" applyAlignment="true" applyProtection="false">
      <alignment horizontal="general" vertical="center" textRotation="0" wrapText="false" indent="0" shrinkToFit="false"/>
      <protection locked="true" hidden="false"/>
    </xf>
    <xf numFmtId="164" fontId="7" fillId="0" borderId="14" xfId="0" applyFont="true" applyBorder="true" applyAlignment="true" applyProtection="false">
      <alignment horizontal="center" vertical="center" textRotation="0" wrapText="false" indent="0" shrinkToFit="false"/>
      <protection locked="true" hidden="false"/>
    </xf>
    <xf numFmtId="164" fontId="4" fillId="0" borderId="14" xfId="0" applyFont="true" applyBorder="true" applyAlignment="true" applyProtection="false">
      <alignment horizontal="center" vertical="center" textRotation="0" wrapText="false" indent="0" shrinkToFit="false"/>
      <protection locked="true" hidden="false"/>
    </xf>
    <xf numFmtId="164" fontId="12" fillId="0" borderId="12" xfId="0" applyFont="true" applyBorder="true" applyAlignment="true" applyProtection="false">
      <alignment horizontal="center" vertical="center" textRotation="0" wrapText="false" indent="0" shrinkToFit="false"/>
      <protection locked="true" hidden="false"/>
    </xf>
    <xf numFmtId="164" fontId="12" fillId="0" borderId="15" xfId="0" applyFont="true" applyBorder="true" applyAlignment="true" applyProtection="false">
      <alignment horizontal="center" vertical="center" textRotation="0" wrapText="false" indent="0" shrinkToFit="false"/>
      <protection locked="true" hidden="false"/>
    </xf>
    <xf numFmtId="164" fontId="10" fillId="0" borderId="16" xfId="0" applyFont="true" applyBorder="true" applyAlignment="true" applyProtection="false">
      <alignment horizontal="center" vertical="center" textRotation="0" wrapText="false" indent="0" shrinkToFit="false"/>
      <protection locked="true" hidden="false"/>
    </xf>
    <xf numFmtId="165" fontId="12" fillId="0" borderId="17" xfId="0" applyFont="true" applyBorder="true" applyAlignment="true" applyProtection="false">
      <alignment horizontal="general" vertical="center" textRotation="0" wrapText="false" indent="0" shrinkToFit="false"/>
      <protection locked="true" hidden="false"/>
    </xf>
    <xf numFmtId="164" fontId="12" fillId="0" borderId="17" xfId="0" applyFont="true" applyBorder="true" applyAlignment="true" applyProtection="false">
      <alignment horizontal="center" vertical="center" textRotation="0" wrapText="false" indent="0" shrinkToFit="false"/>
      <protection locked="true" hidden="false"/>
    </xf>
    <xf numFmtId="164" fontId="12" fillId="0" borderId="18" xfId="0" applyFont="true" applyBorder="true" applyAlignment="true" applyProtection="false">
      <alignment horizontal="center" vertical="center" textRotation="0" wrapText="false" indent="0" shrinkToFit="false"/>
      <protection locked="true" hidden="false"/>
    </xf>
    <xf numFmtId="164" fontId="4" fillId="0" borderId="19" xfId="0" applyFont="true" applyBorder="true" applyAlignment="true" applyProtection="false">
      <alignment horizontal="center" vertical="center" textRotation="0" wrapText="false" indent="0" shrinkToFit="false"/>
      <protection locked="true" hidden="false"/>
    </xf>
    <xf numFmtId="165" fontId="12" fillId="3" borderId="20" xfId="0" applyFont="true" applyBorder="true" applyAlignment="true" applyProtection="false">
      <alignment horizontal="general" vertical="center" textRotation="0" wrapText="false" indent="0" shrinkToFit="false"/>
      <protection locked="true" hidden="false"/>
    </xf>
    <xf numFmtId="165" fontId="12" fillId="0" borderId="21" xfId="0" applyFont="true" applyBorder="true" applyAlignment="true" applyProtection="false">
      <alignment horizontal="general" vertical="center" textRotation="0" wrapText="false" indent="0" shrinkToFit="false"/>
      <protection locked="true" hidden="false"/>
    </xf>
    <xf numFmtId="164" fontId="12" fillId="0" borderId="22" xfId="0" applyFont="true" applyBorder="true" applyAlignment="true" applyProtection="false">
      <alignment horizontal="general" vertical="center" textRotation="0" wrapText="false" indent="0" shrinkToFit="false"/>
      <protection locked="true" hidden="false"/>
    </xf>
    <xf numFmtId="164" fontId="7" fillId="0" borderId="19" xfId="0" applyFont="true" applyBorder="true" applyAlignment="true" applyProtection="false">
      <alignment horizontal="center" vertical="center" textRotation="0" wrapText="false" indent="0" shrinkToFit="false"/>
      <protection locked="true" hidden="false"/>
    </xf>
    <xf numFmtId="164" fontId="12" fillId="0" borderId="21" xfId="0" applyFont="true" applyBorder="true" applyAlignment="true" applyProtection="false">
      <alignment horizontal="center" vertical="center" textRotation="0" wrapText="false" indent="0" shrinkToFit="false"/>
      <protection locked="true" hidden="false"/>
    </xf>
    <xf numFmtId="164" fontId="12" fillId="0" borderId="23" xfId="0" applyFont="true" applyBorder="true" applyAlignment="true" applyProtection="false">
      <alignment horizontal="center" vertical="center" textRotation="0" wrapText="false" indent="0" shrinkToFit="false"/>
      <protection locked="true" hidden="false"/>
    </xf>
    <xf numFmtId="164" fontId="10" fillId="3" borderId="24" xfId="0" applyFont="true" applyBorder="true" applyAlignment="true" applyProtection="false">
      <alignment horizontal="general" vertical="center" textRotation="0" wrapText="false" indent="0" shrinkToFit="false"/>
      <protection locked="true" hidden="false"/>
    </xf>
    <xf numFmtId="165" fontId="12" fillId="3" borderId="24" xfId="0" applyFont="true" applyBorder="true" applyAlignment="true" applyProtection="false">
      <alignment horizontal="general" vertical="center" textRotation="0" wrapText="false" indent="0" shrinkToFit="false"/>
      <protection locked="true" hidden="false"/>
    </xf>
    <xf numFmtId="165" fontId="12" fillId="3" borderId="25" xfId="0" applyFont="true" applyBorder="true" applyAlignment="true" applyProtection="false">
      <alignment horizontal="general" vertical="center" textRotation="0" wrapText="false" indent="0" shrinkToFit="false"/>
      <protection locked="true" hidden="false"/>
    </xf>
    <xf numFmtId="164" fontId="7" fillId="3" borderId="26" xfId="0" applyFont="true" applyBorder="true" applyAlignment="true" applyProtection="false">
      <alignment horizontal="center" vertical="center" textRotation="0" wrapText="false" indent="0" shrinkToFit="false"/>
      <protection locked="true" hidden="false"/>
    </xf>
    <xf numFmtId="165" fontId="12" fillId="3" borderId="26" xfId="0" applyFont="true" applyBorder="true" applyAlignment="true" applyProtection="false">
      <alignment horizontal="general" vertical="center" textRotation="0" wrapText="false" indent="0" shrinkToFit="false"/>
      <protection locked="true" hidden="false"/>
    </xf>
    <xf numFmtId="165" fontId="12" fillId="3" borderId="2" xfId="0" applyFont="true" applyBorder="true" applyAlignment="true" applyProtection="false">
      <alignment horizontal="general"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0" borderId="27" xfId="0" applyFont="true" applyBorder="true" applyAlignment="true" applyProtection="false">
      <alignment horizontal="center" vertical="center" textRotation="0" wrapText="false" indent="0" shrinkToFit="false"/>
      <protection locked="true" hidden="false"/>
    </xf>
    <xf numFmtId="164" fontId="15" fillId="0" borderId="28" xfId="0" applyFont="true" applyBorder="true" applyAlignment="true" applyProtection="false">
      <alignment horizontal="left" vertical="center" textRotation="0" wrapText="true" indent="0" shrinkToFit="false"/>
      <protection locked="true" hidden="false"/>
    </xf>
    <xf numFmtId="165" fontId="4" fillId="0"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5" fontId="16" fillId="0" borderId="0" xfId="0" applyFont="true" applyBorder="true" applyAlignment="true" applyProtection="true">
      <alignment horizontal="center" vertical="center" textRotation="0" wrapText="false" indent="0" shrinkToFit="false"/>
      <protection locked="fals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7" fillId="0" borderId="0" xfId="0" applyFont="true" applyBorder="true" applyAlignment="true" applyProtection="false">
      <alignment horizontal="general" vertical="center" textRotation="0" wrapText="false" indent="0" shrinkToFit="false"/>
      <protection locked="true" hidden="false"/>
    </xf>
    <xf numFmtId="165" fontId="16" fillId="0"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true" applyAlignment="true" applyProtection="false">
      <alignment horizontal="general" vertical="center" textRotation="0" wrapText="false" indent="0" shrinkToFit="false"/>
      <protection locked="true" hidden="false"/>
    </xf>
    <xf numFmtId="164" fontId="10" fillId="4" borderId="3" xfId="0" applyFont="true" applyBorder="true" applyAlignment="true" applyProtection="false">
      <alignment horizontal="center" vertical="center" textRotation="0" wrapText="true" indent="0" shrinkToFit="false"/>
      <protection locked="true" hidden="false"/>
    </xf>
    <xf numFmtId="164" fontId="10" fillId="4" borderId="29" xfId="0" applyFont="true" applyBorder="true" applyAlignment="true" applyProtection="false">
      <alignment horizontal="center" vertical="center" textRotation="0" wrapText="true" indent="0" shrinkToFit="false"/>
      <protection locked="true" hidden="false"/>
    </xf>
    <xf numFmtId="164" fontId="12" fillId="0" borderId="30" xfId="0" applyFont="true" applyBorder="true" applyAlignment="true" applyProtection="false">
      <alignment horizontal="center" vertical="center" textRotation="0" wrapText="false" indent="0" shrinkToFit="false"/>
      <protection locked="true" hidden="false"/>
    </xf>
    <xf numFmtId="164" fontId="12" fillId="0" borderId="31" xfId="0" applyFont="true" applyBorder="true" applyAlignment="true" applyProtection="false">
      <alignment horizontal="center" vertical="center" textRotation="0" wrapText="false" indent="0" shrinkToFit="false"/>
      <protection locked="true" hidden="false"/>
    </xf>
    <xf numFmtId="164" fontId="10" fillId="0" borderId="32"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general" vertical="center" textRotation="0" wrapText="false" indent="0" shrinkToFit="false"/>
      <protection locked="true" hidden="false"/>
    </xf>
    <xf numFmtId="165" fontId="16" fillId="0" borderId="0" xfId="0" applyFont="true" applyBorder="false" applyAlignment="true" applyProtection="true">
      <alignment horizontal="center" vertical="center" textRotation="0" wrapText="false" indent="0" shrinkToFit="false"/>
      <protection locked="fals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4" borderId="3" xfId="0" applyFont="true" applyBorder="true" applyAlignment="true" applyProtection="false">
      <alignment horizontal="center" vertical="center" textRotation="0" wrapText="false" indent="0" shrinkToFit="false"/>
      <protection locked="true" hidden="false"/>
    </xf>
    <xf numFmtId="164" fontId="9" fillId="4" borderId="26"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9" fillId="4" borderId="3" xfId="0" applyFont="true" applyBorder="true" applyAlignment="true" applyProtection="false">
      <alignment horizontal="center" vertical="center" textRotation="0" wrapText="true" indent="0" shrinkToFit="false"/>
      <protection locked="true" hidden="false"/>
    </xf>
    <xf numFmtId="164" fontId="9" fillId="0" borderId="4" xfId="0" applyFont="true" applyBorder="true" applyAlignment="true" applyProtection="false">
      <alignment horizontal="center" vertical="center" textRotation="0" wrapText="false" indent="0" shrinkToFit="false"/>
      <protection locked="true" hidden="false"/>
    </xf>
    <xf numFmtId="164" fontId="7" fillId="0" borderId="33" xfId="0" applyFont="true" applyBorder="true" applyAlignment="true" applyProtection="false">
      <alignment horizontal="center" vertical="center" textRotation="0" wrapText="false" indent="0" shrinkToFit="false"/>
      <protection locked="true" hidden="false"/>
    </xf>
    <xf numFmtId="164" fontId="4" fillId="0" borderId="6" xfId="0" applyFont="true" applyBorder="true" applyAlignment="true" applyProtection="false">
      <alignment horizontal="center" vertical="center" textRotation="0" wrapText="false" indent="0" shrinkToFit="false"/>
      <protection locked="true" hidden="false"/>
    </xf>
    <xf numFmtId="164" fontId="4" fillId="0" borderId="9" xfId="0" applyFont="true" applyBorder="true" applyAlignment="true" applyProtection="false">
      <alignment horizontal="center" vertical="center" textRotation="0" wrapText="false" indent="0" shrinkToFit="false"/>
      <protection locked="true" hidden="false"/>
    </xf>
    <xf numFmtId="164" fontId="9" fillId="0" borderId="10" xfId="0" applyFont="true" applyBorder="true" applyAlignment="true" applyProtection="false">
      <alignment horizontal="center" vertical="center" textRotation="0" wrapText="false" indent="0" shrinkToFit="false"/>
      <protection locked="true" hidden="false"/>
    </xf>
    <xf numFmtId="164" fontId="4" fillId="0" borderId="34" xfId="0" applyFont="true" applyBorder="true" applyAlignment="true" applyProtection="false">
      <alignment horizontal="center" vertical="center" textRotation="0" wrapText="false" indent="0" shrinkToFit="false"/>
      <protection locked="true" hidden="false"/>
    </xf>
    <xf numFmtId="164" fontId="7" fillId="0" borderId="35" xfId="0" applyFont="true" applyBorder="true" applyAlignment="true" applyProtection="false">
      <alignment horizontal="center" vertical="center" textRotation="0" wrapText="false" indent="0" shrinkToFit="false"/>
      <protection locked="true" hidden="false"/>
    </xf>
    <xf numFmtId="164" fontId="4" fillId="0" borderId="12" xfId="0" applyFont="true" applyBorder="true" applyAlignment="true" applyProtection="false">
      <alignment horizontal="center" vertical="center" textRotation="0" wrapText="false" indent="0" shrinkToFit="false"/>
      <protection locked="true" hidden="false"/>
    </xf>
    <xf numFmtId="164" fontId="4" fillId="0" borderId="15" xfId="0" applyFont="true" applyBorder="true" applyAlignment="true" applyProtection="false">
      <alignment horizontal="center" vertical="center" textRotation="0" wrapText="false" indent="0" shrinkToFit="false"/>
      <protection locked="true" hidden="false"/>
    </xf>
    <xf numFmtId="164" fontId="9" fillId="0" borderId="16" xfId="0" applyFont="true" applyBorder="true" applyAlignment="true" applyProtection="false">
      <alignment horizontal="center" vertical="center" textRotation="0" wrapText="false" indent="0" shrinkToFit="false"/>
      <protection locked="true" hidden="false"/>
    </xf>
    <xf numFmtId="164" fontId="4" fillId="0" borderId="36" xfId="0" applyFont="true" applyBorder="true" applyAlignment="true" applyProtection="false">
      <alignment horizontal="center" vertical="center" textRotation="0" wrapText="false" indent="0" shrinkToFit="false"/>
      <protection locked="true" hidden="false"/>
    </xf>
    <xf numFmtId="165" fontId="12" fillId="0" borderId="22" xfId="0" applyFont="true" applyBorder="true" applyAlignment="true" applyProtection="false">
      <alignment horizontal="general" vertical="center" textRotation="0" wrapText="false" indent="0" shrinkToFit="false"/>
      <protection locked="true" hidden="false"/>
    </xf>
    <xf numFmtId="165" fontId="12" fillId="0" borderId="37" xfId="0" applyFont="true" applyBorder="tru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general" vertical="center" textRotation="0" wrapText="false" indent="0" shrinkToFit="false"/>
      <protection locked="true" hidden="false"/>
    </xf>
    <xf numFmtId="164" fontId="4" fillId="0" borderId="37" xfId="0" applyFont="true" applyBorder="true" applyAlignment="true" applyProtection="false">
      <alignment horizontal="general" vertical="center" textRotation="0" wrapText="false" indent="0" shrinkToFit="false"/>
      <protection locked="true" hidden="false"/>
    </xf>
    <xf numFmtId="164" fontId="4" fillId="0" borderId="22" xfId="0" applyFont="true" applyBorder="true" applyAlignment="true" applyProtection="false">
      <alignment horizontal="center" vertical="center" textRotation="0" wrapText="false" indent="0" shrinkToFit="false"/>
      <protection locked="true" hidden="false"/>
    </xf>
    <xf numFmtId="164" fontId="4" fillId="0" borderId="38" xfId="0" applyFont="true" applyBorder="true" applyAlignment="true" applyProtection="false">
      <alignment horizontal="center" vertical="center" textRotation="0" wrapText="false" indent="0" shrinkToFit="false"/>
      <protection locked="true" hidden="false"/>
    </xf>
    <xf numFmtId="164" fontId="9" fillId="0" borderId="27" xfId="0" applyFont="true" applyBorder="true" applyAlignment="true" applyProtection="false">
      <alignment horizontal="center" vertical="center" textRotation="0" wrapText="false" indent="0" shrinkToFit="false"/>
      <protection locked="true" hidden="false"/>
    </xf>
    <xf numFmtId="164" fontId="4" fillId="0" borderId="39"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general" vertical="center" textRotation="0" wrapText="false" indent="0" shrinkToFit="false"/>
      <protection locked="true" hidden="false"/>
    </xf>
    <xf numFmtId="165" fontId="4" fillId="3" borderId="3" xfId="0" applyFont="true" applyBorder="true" applyAlignment="true" applyProtection="false">
      <alignment horizontal="center" vertical="center" textRotation="0" wrapText="false" indent="0" shrinkToFit="false"/>
      <protection locked="true" hidden="false"/>
    </xf>
    <xf numFmtId="165" fontId="4" fillId="3" borderId="26" xfId="0" applyFont="true" applyBorder="true" applyAlignment="true" applyProtection="false">
      <alignment horizontal="center" vertical="center" textRotation="0" wrapText="false" indent="0" shrinkToFit="false"/>
      <protection locked="true" hidden="false"/>
    </xf>
    <xf numFmtId="165" fontId="4" fillId="3" borderId="2"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4" fillId="0" borderId="40" xfId="0" applyFont="true" applyBorder="true" applyAlignment="true" applyProtection="false">
      <alignment horizontal="general" vertical="center" textRotation="0" wrapText="false" indent="0" shrinkToFit="false"/>
      <protection locked="true" hidden="false"/>
    </xf>
    <xf numFmtId="166" fontId="9" fillId="0" borderId="10" xfId="0" applyFont="true" applyBorder="true" applyAlignment="true" applyProtection="true">
      <alignment horizontal="center" vertical="center" textRotation="0" wrapText="false" indent="0" shrinkToFit="false"/>
      <protection locked="false" hidden="false"/>
    </xf>
    <xf numFmtId="166" fontId="4" fillId="0" borderId="34" xfId="0" applyFont="true" applyBorder="true" applyAlignment="true" applyProtection="true">
      <alignment horizontal="center" vertical="center" textRotation="0" wrapText="false" indent="0" shrinkToFit="false"/>
      <protection locked="false" hidden="false"/>
    </xf>
    <xf numFmtId="166" fontId="4" fillId="0" borderId="9" xfId="0" applyFont="true" applyBorder="true" applyAlignment="true" applyProtection="false">
      <alignment horizontal="center" vertical="center" textRotation="0" wrapText="false" indent="0" shrinkToFit="false"/>
      <protection locked="true" hidden="false"/>
    </xf>
    <xf numFmtId="164" fontId="4" fillId="0" borderId="17" xfId="0" applyFont="true" applyBorder="true" applyAlignment="true" applyProtection="false">
      <alignment horizontal="general" vertical="center" textRotation="0" wrapText="false" indent="0" shrinkToFit="false"/>
      <protection locked="true" hidden="false"/>
    </xf>
    <xf numFmtId="166" fontId="9" fillId="0" borderId="16" xfId="0" applyFont="true" applyBorder="true" applyAlignment="true" applyProtection="true">
      <alignment horizontal="center" vertical="center" textRotation="0" wrapText="false" indent="0" shrinkToFit="false"/>
      <protection locked="false" hidden="false"/>
    </xf>
    <xf numFmtId="166" fontId="4" fillId="0" borderId="36" xfId="0" applyFont="true" applyBorder="true" applyAlignment="true" applyProtection="true">
      <alignment horizontal="center" vertical="center" textRotation="0" wrapText="false" indent="0" shrinkToFit="false"/>
      <protection locked="false" hidden="false"/>
    </xf>
    <xf numFmtId="166" fontId="4" fillId="0" borderId="15" xfId="0" applyFont="true" applyBorder="true" applyAlignment="true" applyProtection="false">
      <alignment horizontal="center" vertical="center" textRotation="0" wrapText="false" indent="0" shrinkToFit="false"/>
      <protection locked="true" hidden="false"/>
    </xf>
    <xf numFmtId="164" fontId="4" fillId="0" borderId="21" xfId="0" applyFont="true" applyBorder="true" applyAlignment="true" applyProtection="false">
      <alignment horizontal="general" vertical="center" textRotation="0" wrapText="false" indent="0" shrinkToFit="false"/>
      <protection locked="true" hidden="false"/>
    </xf>
    <xf numFmtId="166" fontId="9" fillId="0" borderId="27" xfId="0" applyFont="true" applyBorder="true" applyAlignment="true" applyProtection="true">
      <alignment horizontal="center" vertical="center" textRotation="0" wrapText="false" indent="0" shrinkToFit="false"/>
      <protection locked="false" hidden="false"/>
    </xf>
    <xf numFmtId="166" fontId="4" fillId="0" borderId="39" xfId="0" applyFont="true" applyBorder="true" applyAlignment="true" applyProtection="true">
      <alignment horizontal="center" vertical="center" textRotation="0" wrapText="false" indent="0" shrinkToFit="false"/>
      <protection locked="false" hidden="false"/>
    </xf>
    <xf numFmtId="166" fontId="4" fillId="0" borderId="38" xfId="0" applyFont="true" applyBorder="true" applyAlignment="true" applyProtection="false">
      <alignment horizontal="center" vertical="center" textRotation="0" wrapText="false" indent="0" shrinkToFit="false"/>
      <protection locked="true" hidden="false"/>
    </xf>
    <xf numFmtId="166" fontId="4" fillId="0" borderId="0" xfId="0" applyFont="true" applyBorder="false" applyAlignment="true" applyProtection="true">
      <alignment horizontal="general" vertical="center" textRotation="0" wrapText="false" indent="0" shrinkToFit="false"/>
      <protection locked="fals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center" vertical="center" textRotation="0" wrapText="false" indent="0" shrinkToFit="false"/>
      <protection locked="true" hidden="false"/>
    </xf>
    <xf numFmtId="164" fontId="9" fillId="4" borderId="29" xfId="0" applyFont="true" applyBorder="true" applyAlignment="true" applyProtection="false">
      <alignment horizontal="center" vertical="center" textRotation="0" wrapText="false" indent="0" shrinkToFit="false"/>
      <protection locked="true" hidden="false"/>
    </xf>
    <xf numFmtId="164" fontId="9" fillId="4" borderId="4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20" fillId="0" borderId="0" xfId="20" applyFont="false" applyBorder="true" applyAlignment="true" applyProtection="true">
      <alignment horizontal="general" vertical="center" textRotation="0" wrapText="false" indent="0" shrinkToFit="false"/>
      <protection locked="true" hidden="false"/>
    </xf>
    <xf numFmtId="164" fontId="4" fillId="0" borderId="7" xfId="0" applyFont="true" applyBorder="true" applyAlignment="true" applyProtection="false">
      <alignment horizontal="general" vertical="center" textRotation="0" wrapText="true" indent="0" shrinkToFit="false"/>
      <protection locked="true" hidden="false"/>
    </xf>
    <xf numFmtId="164" fontId="9" fillId="0" borderId="42" xfId="0" applyFont="true" applyBorder="true" applyAlignment="true" applyProtection="false">
      <alignment horizontal="center" vertical="center" textRotation="0" wrapText="false" indent="0" shrinkToFit="false"/>
      <protection locked="true" hidden="false"/>
    </xf>
    <xf numFmtId="164" fontId="4" fillId="0" borderId="7" xfId="0" applyFont="true" applyBorder="true" applyAlignment="true" applyProtection="false">
      <alignment horizontal="center" vertical="center" textRotation="0" wrapText="false" indent="0" shrinkToFit="false"/>
      <protection locked="true" hidden="false"/>
    </xf>
    <xf numFmtId="164" fontId="4" fillId="0" borderId="13" xfId="0" applyFont="true" applyBorder="true" applyAlignment="true" applyProtection="false">
      <alignment horizontal="general" vertical="center" textRotation="0" wrapText="false" indent="0" shrinkToFit="false"/>
      <protection locked="true" hidden="false"/>
    </xf>
    <xf numFmtId="164" fontId="4" fillId="0" borderId="13" xfId="0" applyFont="true" applyBorder="true" applyAlignment="true" applyProtection="false">
      <alignment horizontal="general" vertical="center" textRotation="0" wrapText="true" indent="0" shrinkToFit="false"/>
      <protection locked="true" hidden="false"/>
    </xf>
    <xf numFmtId="164" fontId="9" fillId="0" borderId="43" xfId="0" applyFont="true" applyBorder="true" applyAlignment="true" applyProtection="false">
      <alignment horizontal="center" vertical="center" textRotation="0" wrapText="false" indent="0" shrinkToFit="false"/>
      <protection locked="true" hidden="false"/>
    </xf>
    <xf numFmtId="164" fontId="4" fillId="0" borderId="13" xfId="0" applyFont="true" applyBorder="true" applyAlignment="true" applyProtection="false">
      <alignment horizontal="center" vertical="center" textRotation="0" wrapText="false" indent="0" shrinkToFit="false"/>
      <protection locked="true" hidden="false"/>
    </xf>
    <xf numFmtId="164" fontId="4" fillId="0" borderId="37" xfId="0" applyFont="true" applyBorder="true" applyAlignment="true" applyProtection="false">
      <alignment horizontal="general" vertical="center" textRotation="0" wrapText="true" indent="0" shrinkToFit="false"/>
      <protection locked="true" hidden="false"/>
    </xf>
    <xf numFmtId="164" fontId="9" fillId="0" borderId="44" xfId="0" applyFont="true" applyBorder="true" applyAlignment="true" applyProtection="false">
      <alignment horizontal="center" vertical="center" textRotation="0" wrapText="false" indent="0" shrinkToFit="false"/>
      <protection locked="true" hidden="false"/>
    </xf>
    <xf numFmtId="164" fontId="4" fillId="0" borderId="37" xfId="0" applyFont="true" applyBorder="true" applyAlignment="true" applyProtection="false">
      <alignment horizontal="center" vertical="center" textRotation="0" wrapText="false" indent="0" shrinkToFit="false"/>
      <protection locked="true" hidden="false"/>
    </xf>
    <xf numFmtId="164" fontId="9" fillId="3" borderId="45" xfId="0" applyFont="true" applyBorder="true" applyAlignment="true" applyProtection="false">
      <alignment horizontal="general" vertical="center" textRotation="0" wrapText="false" indent="0" shrinkToFit="false"/>
      <protection locked="true" hidden="false"/>
    </xf>
    <xf numFmtId="164" fontId="4" fillId="3" borderId="25" xfId="0" applyFont="true" applyBorder="true" applyAlignment="true" applyProtection="false">
      <alignment horizontal="center" vertical="center" textRotation="0" wrapText="false" indent="0" shrinkToFit="false"/>
      <protection locked="true" hidden="false"/>
    </xf>
    <xf numFmtId="164" fontId="4" fillId="3" borderId="46" xfId="0" applyFont="true" applyBorder="true" applyAlignment="true" applyProtection="false">
      <alignment horizontal="center" vertical="center" textRotation="0" wrapText="false" indent="0" shrinkToFit="false"/>
      <protection locked="true" hidden="false"/>
    </xf>
    <xf numFmtId="164" fontId="9" fillId="3" borderId="46" xfId="0" applyFont="true" applyBorder="true" applyAlignment="true" applyProtection="false">
      <alignment horizontal="center" vertical="center" textRotation="0" wrapText="false" indent="0" shrinkToFit="false"/>
      <protection locked="true" hidden="false"/>
    </xf>
    <xf numFmtId="164" fontId="9" fillId="3" borderId="24" xfId="0" applyFont="true" applyBorder="true" applyAlignment="true" applyProtection="false">
      <alignment horizontal="center" vertical="center" textRotation="0" wrapText="false" indent="0" shrinkToFit="false"/>
      <protection locked="true" hidden="false"/>
    </xf>
    <xf numFmtId="164" fontId="9" fillId="0" borderId="47" xfId="0" applyFont="true" applyBorder="true" applyAlignment="true" applyProtection="false">
      <alignment horizontal="center" vertical="center" textRotation="0" wrapText="false" indent="0" shrinkToFit="false"/>
      <protection locked="true" hidden="false"/>
    </xf>
    <xf numFmtId="164" fontId="9" fillId="3" borderId="45"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5" fontId="16" fillId="0" borderId="0" xfId="0" applyFont="true" applyBorder="false" applyAlignment="true" applyProtection="true">
      <alignment horizontal="general" vertical="center" textRotation="0" wrapText="false" indent="0" shrinkToFit="false"/>
      <protection locked="fals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9" fillId="4" borderId="5" xfId="0" applyFont="true" applyBorder="true" applyAlignment="true" applyProtection="false">
      <alignment horizontal="center" vertical="center" textRotation="0" wrapText="false" indent="0" shrinkToFit="false"/>
      <protection locked="true" hidden="false"/>
    </xf>
    <xf numFmtId="164" fontId="9" fillId="4" borderId="22" xfId="0" applyFont="true" applyBorder="true" applyAlignment="true" applyProtection="false">
      <alignment horizontal="center" vertical="center" textRotation="0" wrapText="false" indent="0" shrinkToFit="false"/>
      <protection locked="true" hidden="false"/>
    </xf>
    <xf numFmtId="164" fontId="9" fillId="4" borderId="38" xfId="0" applyFont="true" applyBorder="true" applyAlignment="true" applyProtection="false">
      <alignment horizontal="center" vertical="center" textRotation="0" wrapText="false" indent="0" shrinkToFit="false"/>
      <protection locked="true" hidden="false"/>
    </xf>
    <xf numFmtId="164" fontId="9" fillId="4" borderId="27" xfId="0" applyFont="true" applyBorder="true" applyAlignment="true" applyProtection="false">
      <alignment horizontal="center" vertical="center" textRotation="0" wrapText="false" indent="0" shrinkToFit="false"/>
      <protection locked="true" hidden="false"/>
    </xf>
    <xf numFmtId="164" fontId="9" fillId="4" borderId="48" xfId="0" applyFont="true" applyBorder="true" applyAlignment="true" applyProtection="false">
      <alignment horizontal="center" vertical="center" textRotation="0" wrapText="false" indent="0" shrinkToFit="false"/>
      <protection locked="true" hidden="false"/>
    </xf>
    <xf numFmtId="164" fontId="9" fillId="4" borderId="4" xfId="0" applyFont="true" applyBorder="true" applyAlignment="true" applyProtection="false">
      <alignment horizontal="center" vertical="center" textRotation="0" wrapText="false" indent="0" shrinkToFit="false"/>
      <protection locked="true" hidden="false"/>
    </xf>
    <xf numFmtId="164" fontId="4" fillId="3" borderId="6" xfId="0" applyFont="true" applyBorder="true" applyAlignment="true" applyProtection="false">
      <alignment horizontal="center" vertical="center" textRotation="0" wrapText="false" indent="0" shrinkToFit="false"/>
      <protection locked="true" hidden="false"/>
    </xf>
    <xf numFmtId="164" fontId="4" fillId="3" borderId="9" xfId="0" applyFont="true" applyBorder="true" applyAlignment="true" applyProtection="false">
      <alignment horizontal="center" vertical="center" textRotation="0" wrapText="false" indent="0" shrinkToFit="false"/>
      <protection locked="true" hidden="false"/>
    </xf>
    <xf numFmtId="166" fontId="9" fillId="3" borderId="10" xfId="0" applyFont="true" applyBorder="true" applyAlignment="true" applyProtection="false">
      <alignment horizontal="center" vertical="center" textRotation="0" wrapText="false" indent="0" shrinkToFit="false"/>
      <protection locked="true" hidden="false"/>
    </xf>
    <xf numFmtId="164" fontId="4" fillId="3" borderId="34" xfId="0" applyFont="true" applyBorder="true" applyAlignment="true" applyProtection="false">
      <alignment horizontal="center" vertical="center" textRotation="0" wrapText="false" indent="0" shrinkToFit="false"/>
      <protection locked="true" hidden="false"/>
    </xf>
    <xf numFmtId="164" fontId="4" fillId="3" borderId="12" xfId="0" applyFont="true" applyBorder="true" applyAlignment="true" applyProtection="false">
      <alignment horizontal="center" vertical="center" textRotation="0" wrapText="false" indent="0" shrinkToFit="false"/>
      <protection locked="true" hidden="false"/>
    </xf>
    <xf numFmtId="164" fontId="4" fillId="3" borderId="15" xfId="0" applyFont="true" applyBorder="true" applyAlignment="true" applyProtection="false">
      <alignment horizontal="center" vertical="center" textRotation="0" wrapText="false" indent="0" shrinkToFit="false"/>
      <protection locked="true" hidden="false"/>
    </xf>
    <xf numFmtId="166" fontId="9" fillId="3" borderId="16" xfId="0" applyFont="true" applyBorder="true" applyAlignment="true" applyProtection="false">
      <alignment horizontal="center" vertical="center" textRotation="0" wrapText="false" indent="0" shrinkToFit="false"/>
      <protection locked="true" hidden="false"/>
    </xf>
    <xf numFmtId="164" fontId="4" fillId="3" borderId="36" xfId="0" applyFont="true" applyBorder="true" applyAlignment="true" applyProtection="false">
      <alignment horizontal="center" vertical="center" textRotation="0" wrapText="false" indent="0" shrinkToFit="false"/>
      <protection locked="true" hidden="false"/>
    </xf>
    <xf numFmtId="164" fontId="22" fillId="3" borderId="0" xfId="0" applyFont="true" applyBorder="true" applyAlignment="true" applyProtection="false">
      <alignment horizontal="center" vertical="bottom" textRotation="0" wrapText="false" indent="0" shrinkToFit="false"/>
      <protection locked="true" hidden="false"/>
    </xf>
    <xf numFmtId="164" fontId="22" fillId="3" borderId="0" xfId="0" applyFont="true" applyBorder="true" applyAlignment="true" applyProtection="false">
      <alignment horizontal="left" vertical="bottom" textRotation="0" wrapText="false" indent="0" shrinkToFit="false"/>
      <protection locked="true" hidden="false"/>
    </xf>
    <xf numFmtId="164" fontId="23" fillId="3" borderId="0" xfId="0" applyFont="true" applyBorder="true" applyAlignment="true" applyProtection="false">
      <alignment horizontal="general" vertical="bottom" textRotation="0" wrapText="false" indent="0" shrinkToFit="false"/>
      <protection locked="true" hidden="false"/>
    </xf>
    <xf numFmtId="164" fontId="23" fillId="3" borderId="0" xfId="0" applyFont="true" applyBorder="true" applyAlignment="true" applyProtection="false">
      <alignment horizontal="left" vertical="bottom" textRotation="0" wrapText="false" indent="0" shrinkToFit="false"/>
      <protection locked="true" hidden="false"/>
    </xf>
    <xf numFmtId="164" fontId="24" fillId="3" borderId="0" xfId="0" applyFont="true" applyBorder="false" applyAlignment="true" applyProtection="false">
      <alignment horizontal="general" vertical="center" textRotation="0" wrapText="false" indent="0" shrinkToFit="false"/>
      <protection locked="true" hidden="false"/>
    </xf>
    <xf numFmtId="164" fontId="9" fillId="3" borderId="25" xfId="0" applyFont="true" applyBorder="true" applyAlignment="true" applyProtection="false">
      <alignment horizontal="center" vertical="center" textRotation="0" wrapText="false" indent="0" shrinkToFit="false"/>
      <protection locked="true" hidden="false"/>
    </xf>
    <xf numFmtId="164" fontId="9" fillId="3" borderId="26"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9" fillId="3" borderId="22" xfId="0" applyFont="true" applyBorder="true" applyAlignment="true" applyProtection="false">
      <alignment horizontal="center" vertical="center" textRotation="0" wrapText="false" indent="0" shrinkToFit="false"/>
      <protection locked="true" hidden="false"/>
    </xf>
    <xf numFmtId="164" fontId="9" fillId="3" borderId="38" xfId="0" applyFont="true" applyBorder="true" applyAlignment="true" applyProtection="false">
      <alignment horizontal="center" vertical="center" textRotation="0" wrapText="false" indent="0" shrinkToFit="false"/>
      <protection locked="true" hidden="false"/>
    </xf>
    <xf numFmtId="164" fontId="9" fillId="3" borderId="27" xfId="0" applyFont="true" applyBorder="true" applyAlignment="true" applyProtection="false">
      <alignment horizontal="center" vertical="center" textRotation="0" wrapText="false" indent="0" shrinkToFit="false"/>
      <protection locked="true" hidden="false"/>
    </xf>
    <xf numFmtId="166" fontId="9" fillId="3" borderId="48" xfId="0" applyFont="true" applyBorder="true" applyAlignment="true" applyProtection="false">
      <alignment horizontal="center" vertical="center" textRotation="0" wrapText="false" indent="0" shrinkToFit="false"/>
      <protection locked="true" hidden="false"/>
    </xf>
    <xf numFmtId="166" fontId="9" fillId="3" borderId="27" xfId="0" applyFont="true" applyBorder="tru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center" textRotation="0" wrapText="false" indent="0" shrinkToFit="false"/>
      <protection locked="true" hidden="false"/>
    </xf>
    <xf numFmtId="164" fontId="25" fillId="0" borderId="28" xfId="0" applyFont="true" applyBorder="true" applyAlignment="true" applyProtection="false">
      <alignment horizontal="left" vertical="bottom" textRotation="0" wrapText="tru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26" fillId="0" borderId="49" xfId="0" applyFont="true" applyBorder="true" applyAlignment="true" applyProtection="false">
      <alignment horizontal="center" vertical="center" textRotation="0" wrapText="false" indent="0" shrinkToFit="false"/>
      <protection locked="true" hidden="false"/>
    </xf>
    <xf numFmtId="164" fontId="26" fillId="0" borderId="50" xfId="0" applyFont="true" applyBorder="true" applyAlignment="true" applyProtection="false">
      <alignment horizontal="center" vertical="center" textRotation="0" wrapText="false" indent="0" shrinkToFit="false"/>
      <protection locked="true" hidden="false"/>
    </xf>
    <xf numFmtId="164" fontId="27" fillId="3" borderId="0" xfId="0" applyFont="true" applyBorder="false" applyAlignment="true" applyProtection="false">
      <alignment horizontal="general" vertical="center" textRotation="0" wrapText="false" indent="0" shrinkToFit="false"/>
      <protection locked="true" hidden="false"/>
    </xf>
    <xf numFmtId="164" fontId="28" fillId="3"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5" fontId="16" fillId="3" borderId="0" xfId="0" applyFont="true" applyBorder="false" applyAlignment="true" applyProtection="true">
      <alignment horizontal="general" vertical="center" textRotation="0" wrapText="false" indent="0" shrinkToFit="false"/>
      <protection locked="false" hidden="false"/>
    </xf>
    <xf numFmtId="164" fontId="16" fillId="3" borderId="0" xfId="0" applyFont="true" applyBorder="false" applyAlignment="true" applyProtection="false">
      <alignment horizontal="general" vertical="center" textRotation="0" wrapText="false" indent="0" shrinkToFit="false"/>
      <protection locked="true" hidden="false"/>
    </xf>
    <xf numFmtId="164" fontId="16" fillId="0" borderId="51" xfId="0" applyFont="true" applyBorder="true" applyAlignment="true" applyProtection="false">
      <alignment horizontal="general" vertical="center" textRotation="0" wrapText="false" indent="0" shrinkToFit="false"/>
      <protection locked="true" hidden="false"/>
    </xf>
    <xf numFmtId="164" fontId="16" fillId="0" borderId="52" xfId="0" applyFont="true" applyBorder="true" applyAlignment="true" applyProtection="false">
      <alignment horizontal="center" vertical="center" textRotation="0" wrapText="false" indent="0" shrinkToFit="false"/>
      <protection locked="true" hidden="false"/>
    </xf>
    <xf numFmtId="164" fontId="16" fillId="0" borderId="52" xfId="0" applyFont="true" applyBorder="true" applyAlignment="true" applyProtection="false">
      <alignment horizontal="general" vertical="center" textRotation="0" wrapText="false" indent="0" shrinkToFit="false"/>
      <protection locked="true" hidden="false"/>
    </xf>
    <xf numFmtId="164" fontId="16" fillId="3" borderId="52" xfId="0" applyFont="true" applyBorder="true" applyAlignment="true" applyProtection="false">
      <alignment horizontal="general" vertical="center" textRotation="0" wrapText="false" indent="0" shrinkToFit="false"/>
      <protection locked="true" hidden="false"/>
    </xf>
    <xf numFmtId="164" fontId="16" fillId="0" borderId="50" xfId="0" applyFont="true" applyBorder="true" applyAlignment="true" applyProtection="false">
      <alignment horizontal="general" vertical="center" textRotation="0" wrapText="false" indent="0" shrinkToFit="false"/>
      <protection locked="true" hidden="false"/>
    </xf>
    <xf numFmtId="164" fontId="29" fillId="3" borderId="0" xfId="0" applyFont="true" applyBorder="true" applyAlignment="false" applyProtection="false">
      <alignment horizontal="general" vertical="bottom" textRotation="0" wrapText="false" indent="0" shrinkToFit="false"/>
      <protection locked="true" hidden="false"/>
    </xf>
    <xf numFmtId="164" fontId="29" fillId="3" borderId="0" xfId="0" applyFont="true" applyBorder="true" applyAlignment="true" applyProtection="false">
      <alignment horizontal="general" vertical="center" textRotation="0" wrapText="true" indent="0" shrinkToFit="false"/>
      <protection locked="true" hidden="false"/>
    </xf>
    <xf numFmtId="164" fontId="29" fillId="3" borderId="0" xfId="0" applyFont="true" applyBorder="true" applyAlignment="true" applyProtection="false">
      <alignment horizontal="center" vertical="center" textRotation="0" wrapText="tru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64" fontId="22" fillId="3" borderId="0" xfId="0" applyFont="true" applyBorder="true" applyAlignment="true" applyProtection="false">
      <alignment horizontal="center" vertical="center" textRotation="0" wrapText="false" indent="0" shrinkToFit="false"/>
      <protection locked="true" hidden="false"/>
    </xf>
    <xf numFmtId="164" fontId="22" fillId="3" borderId="0" xfId="0" applyFont="true" applyBorder="true" applyAlignment="false" applyProtection="false">
      <alignment horizontal="general" vertical="bottom" textRotation="0" wrapText="false" indent="0" shrinkToFit="false"/>
      <protection locked="true" hidden="false"/>
    </xf>
    <xf numFmtId="164" fontId="31" fillId="3" borderId="0" xfId="0" applyFont="true" applyBorder="true" applyAlignment="false" applyProtection="false">
      <alignment horizontal="general" vertical="bottom" textRotation="0" wrapText="false" indent="0" shrinkToFit="false"/>
      <protection locked="true" hidden="false"/>
    </xf>
    <xf numFmtId="164" fontId="31" fillId="3" borderId="0" xfId="0" applyFont="true" applyBorder="true" applyAlignment="true" applyProtection="false">
      <alignment horizontal="center" vertical="bottom" textRotation="0" wrapText="false" indent="0" shrinkToFit="false"/>
      <protection locked="true" hidden="false"/>
    </xf>
    <xf numFmtId="164" fontId="31" fillId="3" borderId="0" xfId="0" applyFont="true" applyBorder="true" applyAlignment="true" applyProtection="false">
      <alignment horizontal="left" vertical="bottom" textRotation="0" wrapText="false" indent="0" shrinkToFit="false"/>
      <protection locked="true" hidden="false"/>
    </xf>
    <xf numFmtId="164" fontId="4" fillId="0" borderId="51"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center"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3" borderId="52" xfId="0" applyFont="true" applyBorder="true" applyAlignment="true" applyProtection="false">
      <alignment horizontal="general" vertical="center" textRotation="0" wrapText="false" indent="0" shrinkToFit="false"/>
      <protection locked="true" hidden="false"/>
    </xf>
    <xf numFmtId="164" fontId="32" fillId="3" borderId="0" xfId="0" applyFont="true" applyBorder="true" applyAlignment="false" applyProtection="false">
      <alignment horizontal="general" vertical="bottom" textRotation="0" wrapText="false" indent="0" shrinkToFit="false"/>
      <protection locked="true" hidden="false"/>
    </xf>
    <xf numFmtId="164" fontId="32" fillId="3" borderId="0" xfId="0" applyFont="true" applyBorder="true" applyAlignment="true" applyProtection="false">
      <alignment horizontal="general" vertical="center" textRotation="0" wrapText="true" indent="0" shrinkToFit="false"/>
      <protection locked="true" hidden="false"/>
    </xf>
    <xf numFmtId="164" fontId="32" fillId="3" borderId="0" xfId="0" applyFont="true" applyBorder="true" applyAlignment="true" applyProtection="false">
      <alignment horizontal="center" vertical="center" textRotation="0" wrapText="true" indent="0" shrinkToFit="false"/>
      <protection locked="true" hidden="false"/>
    </xf>
    <xf numFmtId="164" fontId="33" fillId="3" borderId="0" xfId="0" applyFont="true" applyBorder="true" applyAlignment="true" applyProtection="false">
      <alignment horizontal="center" vertical="center" textRotation="0" wrapText="false" indent="0" shrinkToFit="false"/>
      <protection locked="true" hidden="false"/>
    </xf>
    <xf numFmtId="164" fontId="32" fillId="3" borderId="0" xfId="0" applyFont="true" applyBorder="true" applyAlignment="true" applyProtection="false">
      <alignment horizontal="center" vertical="center" textRotation="0" wrapText="false" indent="0" shrinkToFit="false"/>
      <protection locked="true" hidden="false"/>
    </xf>
    <xf numFmtId="164" fontId="32" fillId="3" borderId="0" xfId="0" applyFont="true" applyBorder="true" applyAlignment="true" applyProtection="false">
      <alignment horizontal="general" vertical="center" textRotation="0" wrapText="false" indent="0" shrinkToFit="false"/>
      <protection locked="true" hidden="false"/>
    </xf>
    <xf numFmtId="164" fontId="34" fillId="3" borderId="0" xfId="0" applyFont="true" applyBorder="true" applyAlignment="true" applyProtection="false">
      <alignment horizontal="left" vertical="bottom" textRotation="0" wrapText="false" indent="1" shrinkToFit="false"/>
      <protection locked="true" hidden="false"/>
    </xf>
    <xf numFmtId="164" fontId="35" fillId="3" borderId="0" xfId="0" applyFont="true" applyBorder="true" applyAlignment="false" applyProtection="false">
      <alignment horizontal="general" vertical="bottom" textRotation="0" wrapText="false" indent="0" shrinkToFit="false"/>
      <protection locked="true" hidden="false"/>
    </xf>
    <xf numFmtId="164" fontId="36" fillId="3" borderId="0" xfId="0" applyFont="true" applyBorder="true" applyAlignment="true" applyProtection="false">
      <alignment horizontal="center" vertical="bottom" textRotation="0" wrapText="false" indent="0" shrinkToFit="false"/>
      <protection locked="true" hidden="false"/>
    </xf>
    <xf numFmtId="164" fontId="36" fillId="3" borderId="0" xfId="0" applyFont="true" applyBorder="true" applyAlignment="true" applyProtection="false">
      <alignment horizontal="left" vertical="bottom" textRotation="0" wrapText="false" indent="0" shrinkToFit="false"/>
      <protection locked="true" hidden="false"/>
    </xf>
    <xf numFmtId="164" fontId="36" fillId="3" borderId="0" xfId="0" applyFont="true" applyBorder="true" applyAlignment="true" applyProtection="false">
      <alignment horizontal="left" vertical="bottom" textRotation="0" wrapText="false" indent="1"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6" fillId="3" borderId="0" xfId="0" applyFont="true" applyBorder="true" applyAlignment="false" applyProtection="false">
      <alignment horizontal="general" vertical="bottom" textRotation="0" wrapText="fals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9" fillId="0" borderId="4" xfId="0" applyFont="true" applyBorder="true" applyAlignment="true" applyProtection="false">
      <alignment horizontal="center" vertical="center" textRotation="0" wrapText="false" indent="0" shrinkToFit="false"/>
      <protection locked="true" hidden="false"/>
    </xf>
    <xf numFmtId="164" fontId="4" fillId="5" borderId="5" xfId="0" applyFont="true" applyBorder="true" applyAlignment="true" applyProtection="false">
      <alignment horizontal="general" vertical="center" textRotation="0" wrapText="false" indent="0" shrinkToFit="false"/>
      <protection locked="true" hidden="false"/>
    </xf>
    <xf numFmtId="164" fontId="35" fillId="3" borderId="0" xfId="0" applyFont="true" applyBorder="true" applyAlignment="true" applyProtection="false">
      <alignment horizontal="center" vertical="bottom" textRotation="0" wrapText="false" indent="0" shrinkToFit="false"/>
      <protection locked="true" hidden="false"/>
    </xf>
    <xf numFmtId="164" fontId="4" fillId="5" borderId="11" xfId="0" applyFont="true" applyBorder="true" applyAlignment="true" applyProtection="false">
      <alignment horizontal="general" vertical="center" textRotation="0" wrapText="false" indent="0" shrinkToFit="false"/>
      <protection locked="true" hidden="false"/>
    </xf>
    <xf numFmtId="164" fontId="35" fillId="3" borderId="0" xfId="0" applyFont="true" applyBorder="true" applyAlignment="true" applyProtection="false">
      <alignment horizontal="left" vertical="bottom" textRotation="0" wrapText="false" indent="0" shrinkToFit="false"/>
      <protection locked="true" hidden="false"/>
    </xf>
    <xf numFmtId="164" fontId="38" fillId="3" borderId="0" xfId="0" applyFont="true" applyBorder="true" applyAlignment="false" applyProtection="false">
      <alignment horizontal="general" vertical="bottom" textRotation="0" wrapText="false" indent="0" shrinkToFit="false"/>
      <protection locked="true" hidden="false"/>
    </xf>
    <xf numFmtId="164" fontId="38" fillId="3" borderId="0" xfId="0" applyFont="true" applyBorder="true" applyAlignment="true" applyProtection="false">
      <alignment horizontal="center" vertical="bottom" textRotation="0" wrapText="false" indent="0" shrinkToFit="false"/>
      <protection locked="true" hidden="false"/>
    </xf>
    <xf numFmtId="164" fontId="34" fillId="3" borderId="0" xfId="0" applyFont="true" applyBorder="true" applyAlignment="true" applyProtection="false">
      <alignment horizontal="left" vertical="bottom" textRotation="0" wrapText="false" indent="0" shrinkToFit="false"/>
      <protection locked="true" hidden="false"/>
    </xf>
    <xf numFmtId="164" fontId="4" fillId="5" borderId="20" xfId="0" applyFont="true" applyBorder="true" applyAlignment="true" applyProtection="false">
      <alignment horizontal="general" vertical="center" textRotation="0" wrapText="false" indent="0" shrinkToFit="false"/>
      <protection locked="true" hidden="false"/>
    </xf>
    <xf numFmtId="164" fontId="4" fillId="3" borderId="39" xfId="0" applyFont="true" applyBorder="true" applyAlignment="true" applyProtection="false">
      <alignment horizontal="center" vertical="center" textRotation="0" wrapText="false" indent="0" shrinkToFit="false"/>
      <protection locked="true" hidden="false"/>
    </xf>
    <xf numFmtId="164" fontId="4" fillId="3" borderId="38" xfId="0" applyFont="true" applyBorder="true" applyAlignment="true" applyProtection="false">
      <alignment horizontal="center" vertical="center" textRotation="0" wrapText="false" indent="0" shrinkToFit="false"/>
      <protection locked="true" hidden="false"/>
    </xf>
    <xf numFmtId="164" fontId="9" fillId="3" borderId="26" xfId="0" applyFont="true" applyBorder="true" applyAlignment="true" applyProtection="false">
      <alignment horizontal="general" vertical="center" textRotation="0" wrapText="false" indent="0" shrinkToFit="false"/>
      <protection locked="true" hidden="false"/>
    </xf>
    <xf numFmtId="164" fontId="9" fillId="3" borderId="2" xfId="0" applyFont="true" applyBorder="true" applyAlignment="true" applyProtection="false">
      <alignment horizontal="general" vertical="center" textRotation="0" wrapText="false" indent="0" shrinkToFit="false"/>
      <protection locked="true" hidden="false"/>
    </xf>
    <xf numFmtId="164" fontId="9" fillId="3" borderId="0" xfId="0" applyFont="true" applyBorder="true" applyAlignment="true" applyProtection="false">
      <alignment horizontal="general"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4" fillId="3" borderId="52" xfId="0" applyFont="true" applyBorder="true" applyAlignment="true" applyProtection="false">
      <alignment horizontal="center" vertical="center" textRotation="0" wrapText="false" indent="0" shrinkToFit="false"/>
      <protection locked="true" hidden="false"/>
    </xf>
    <xf numFmtId="164" fontId="0" fillId="0" borderId="28" xfId="0" applyFont="true" applyBorder="true" applyAlignment="true" applyProtection="false">
      <alignment horizontal="left" vertical="bottom"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9" fillId="3" borderId="51" xfId="0" applyFont="true" applyBorder="true" applyAlignment="true" applyProtection="false">
      <alignment horizontal="general" vertical="center" textRotation="0" wrapText="false" indent="0" shrinkToFit="false"/>
      <protection locked="true" hidden="false"/>
    </xf>
    <xf numFmtId="164" fontId="9" fillId="3" borderId="52" xfId="0" applyFont="true" applyBorder="true" applyAlignment="true" applyProtection="false">
      <alignment horizontal="center" vertical="center" textRotation="0" wrapText="false" indent="0" shrinkToFit="false"/>
      <protection locked="true" hidden="false"/>
    </xf>
    <xf numFmtId="164" fontId="4" fillId="3" borderId="51" xfId="0" applyFont="true" applyBorder="true" applyAlignment="true" applyProtection="false">
      <alignment horizontal="general" vertical="center" textRotation="0" wrapText="false" indent="0" shrinkToFit="false"/>
      <protection locked="true" hidden="false"/>
    </xf>
    <xf numFmtId="164" fontId="9" fillId="4" borderId="53"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4" fillId="0" borderId="54" xfId="0" applyFont="true" applyBorder="true" applyAlignment="true" applyProtection="false">
      <alignment horizontal="center" vertical="center" textRotation="0" wrapText="false" indent="0" shrinkToFit="false"/>
      <protection locked="true" hidden="false"/>
    </xf>
    <xf numFmtId="164" fontId="9" fillId="0" borderId="34" xfId="0" applyFont="true" applyBorder="true" applyAlignment="true" applyProtection="false">
      <alignment horizontal="center" vertical="center" textRotation="0" wrapText="false" indent="0" shrinkToFit="false"/>
      <protection locked="true" hidden="false"/>
    </xf>
    <xf numFmtId="164" fontId="4" fillId="0" borderId="55" xfId="0" applyFont="true" applyBorder="true" applyAlignment="true" applyProtection="false">
      <alignment horizontal="center" vertical="center" textRotation="0" wrapText="false" indent="0" shrinkToFit="false"/>
      <protection locked="true" hidden="false"/>
    </xf>
    <xf numFmtId="164" fontId="9" fillId="0" borderId="36" xfId="0" applyFont="true" applyBorder="true" applyAlignment="true" applyProtection="false">
      <alignment horizontal="center" vertical="center" textRotation="0" wrapText="false" indent="0" shrinkToFit="false"/>
      <protection locked="true" hidden="false"/>
    </xf>
    <xf numFmtId="164" fontId="4" fillId="3" borderId="13" xfId="0" applyFont="true" applyBorder="true" applyAlignment="true" applyProtection="false">
      <alignment horizontal="center" vertical="center" textRotation="0" wrapText="false" indent="0" shrinkToFit="false"/>
      <protection locked="true" hidden="false"/>
    </xf>
    <xf numFmtId="164" fontId="4" fillId="3" borderId="55" xfId="0" applyFont="true" applyBorder="true" applyAlignment="true" applyProtection="false">
      <alignment horizontal="center" vertical="center" textRotation="0" wrapText="false" indent="0" shrinkToFit="false"/>
      <protection locked="true" hidden="false"/>
    </xf>
    <xf numFmtId="164" fontId="4" fillId="3" borderId="37" xfId="0" applyFont="true" applyBorder="true" applyAlignment="true" applyProtection="false">
      <alignment horizontal="center" vertical="center" textRotation="0" wrapText="false" indent="0" shrinkToFit="false"/>
      <protection locked="true" hidden="false"/>
    </xf>
    <xf numFmtId="164" fontId="4" fillId="3" borderId="56"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general" vertical="center" textRotation="0" wrapText="false" indent="0" shrinkToFit="false"/>
      <protection locked="true" hidden="false"/>
    </xf>
    <xf numFmtId="164" fontId="6" fillId="3" borderId="51" xfId="0" applyFont="true" applyBorder="true" applyAlignment="true" applyProtection="false">
      <alignment horizontal="general" vertical="center" textRotation="0" wrapText="false" indent="0" shrinkToFit="false"/>
      <protection locked="true" hidden="false"/>
    </xf>
    <xf numFmtId="164" fontId="28" fillId="0" borderId="25" xfId="0" applyFont="true" applyBorder="tru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true" applyAlignment="true" applyProtection="false">
      <alignment horizontal="left" vertical="center" textRotation="0" wrapText="false" indent="0" shrinkToFit="false"/>
      <protection locked="true" hidden="false"/>
    </xf>
    <xf numFmtId="164" fontId="15" fillId="0" borderId="28" xfId="0" applyFont="true" applyBorder="true" applyAlignment="true" applyProtection="false">
      <alignment horizontal="left" vertical="center" textRotation="0" wrapText="false" indent="0" shrinkToFit="false"/>
      <protection locked="true" hidden="false"/>
    </xf>
    <xf numFmtId="164" fontId="9" fillId="3" borderId="52" xfId="0" applyFont="true" applyBorder="true" applyAlignment="true" applyProtection="false">
      <alignment horizontal="general" vertical="center" textRotation="0" wrapText="false" indent="0" shrinkToFit="false"/>
      <protection locked="true" hidden="false"/>
    </xf>
    <xf numFmtId="164" fontId="9" fillId="0" borderId="48" xfId="0" applyFont="true" applyBorder="true" applyAlignment="true" applyProtection="false">
      <alignment horizontal="center" vertical="center" textRotation="0" wrapText="false" indent="0" shrinkToFit="false"/>
      <protection locked="true" hidden="false"/>
    </xf>
    <xf numFmtId="164" fontId="4" fillId="0" borderId="10" xfId="0" applyFont="true" applyBorder="true" applyAlignment="true" applyProtection="false">
      <alignment horizontal="center" vertical="center" textRotation="0" wrapText="false" indent="0" shrinkToFit="false"/>
      <protection locked="true" hidden="false"/>
    </xf>
    <xf numFmtId="164" fontId="4" fillId="0" borderId="16" xfId="0" applyFont="true" applyBorder="true" applyAlignment="true" applyProtection="false">
      <alignment horizontal="center" vertical="center" textRotation="0" wrapText="false" indent="0" shrinkToFit="false"/>
      <protection locked="true" hidden="false"/>
    </xf>
    <xf numFmtId="164" fontId="39" fillId="3" borderId="0" xfId="0" applyFont="true" applyBorder="true" applyAlignment="true" applyProtection="false">
      <alignment horizontal="center" vertical="center" textRotation="0" wrapText="true" indent="0" shrinkToFit="false"/>
      <protection locked="true" hidden="false"/>
    </xf>
    <xf numFmtId="164" fontId="39" fillId="3" borderId="0" xfId="0" applyFont="true" applyBorder="true" applyAlignment="true" applyProtection="false">
      <alignment horizontal="general" vertical="center" textRotation="0" wrapText="true" indent="0" shrinkToFit="false"/>
      <protection locked="true" hidden="false"/>
    </xf>
    <xf numFmtId="164" fontId="4" fillId="3" borderId="57" xfId="0" applyFont="true" applyBorder="true" applyAlignment="true" applyProtection="false">
      <alignment horizontal="center" vertical="center" textRotation="0" wrapText="false" indent="0" shrinkToFit="false"/>
      <protection locked="true" hidden="false"/>
    </xf>
    <xf numFmtId="164" fontId="4" fillId="3" borderId="58" xfId="0" applyFont="true" applyBorder="true" applyAlignment="true" applyProtection="false">
      <alignment horizontal="center" vertical="center" textRotation="0" wrapText="false" indent="0" shrinkToFit="false"/>
      <protection locked="true" hidden="false"/>
    </xf>
    <xf numFmtId="164" fontId="4" fillId="0" borderId="32" xfId="0" applyFont="true" applyBorder="true" applyAlignment="true" applyProtection="false">
      <alignment horizontal="center" vertical="center" textRotation="0" wrapText="false" indent="0" shrinkToFit="false"/>
      <protection locked="true" hidden="false"/>
    </xf>
    <xf numFmtId="164" fontId="4" fillId="3" borderId="59" xfId="0" applyFont="true" applyBorder="true" applyAlignment="true" applyProtection="false">
      <alignment horizontal="center" vertical="center" textRotation="0" wrapText="false" indent="0" shrinkToFit="false"/>
      <protection locked="true" hidden="false"/>
    </xf>
    <xf numFmtId="164" fontId="4" fillId="3" borderId="21" xfId="0" applyFont="true" applyBorder="true" applyAlignment="true" applyProtection="false">
      <alignment horizontal="center" vertical="center" textRotation="0" wrapText="false" indent="0" shrinkToFit="false"/>
      <protection locked="true" hidden="false"/>
    </xf>
    <xf numFmtId="164" fontId="4" fillId="3" borderId="23" xfId="0" applyFont="true" applyBorder="true" applyAlignment="true" applyProtection="false">
      <alignment horizontal="center" vertical="center" textRotation="0" wrapText="false" indent="0" shrinkToFit="false"/>
      <protection locked="true" hidden="false"/>
    </xf>
    <xf numFmtId="164" fontId="4" fillId="0" borderId="27"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4" fontId="4" fillId="3" borderId="60" xfId="0" applyFont="true" applyBorder="true" applyAlignment="true" applyProtection="false">
      <alignment horizontal="general" vertical="center" textRotation="0" wrapText="false" indent="0" shrinkToFit="false"/>
      <protection locked="true" hidden="false"/>
    </xf>
    <xf numFmtId="164" fontId="16" fillId="0" borderId="61" xfId="0" applyFont="true" applyBorder="true" applyAlignment="true" applyProtection="false">
      <alignment horizontal="left" vertical="center" textRotation="0" wrapText="false" indent="0" shrinkToFit="false"/>
      <protection locked="true" hidden="false"/>
    </xf>
    <xf numFmtId="164" fontId="11" fillId="0" borderId="62" xfId="0" applyFont="true" applyBorder="true" applyAlignment="true" applyProtection="false">
      <alignment horizontal="center" vertical="center" textRotation="0" wrapText="false" indent="0" shrinkToFit="false"/>
      <protection locked="true" hidden="false"/>
    </xf>
    <xf numFmtId="164" fontId="11" fillId="0" borderId="63" xfId="0" applyFont="true" applyBorder="true" applyAlignment="true" applyProtection="false">
      <alignment horizontal="center" vertical="center" textRotation="0" wrapText="false" indent="0" shrinkToFit="false"/>
      <protection locked="true" hidden="false"/>
    </xf>
    <xf numFmtId="164" fontId="9" fillId="0" borderId="51" xfId="0" applyFont="true" applyBorder="true" applyAlignment="true" applyProtection="false">
      <alignment horizontal="general" vertical="center" textRotation="0" wrapText="false" indent="0" shrinkToFit="false"/>
      <protection locked="true" hidden="false"/>
    </xf>
    <xf numFmtId="164" fontId="9" fillId="0" borderId="52" xfId="0" applyFont="true" applyBorder="true" applyAlignment="true" applyProtection="false">
      <alignment horizontal="center" vertical="center" textRotation="0" wrapText="false" indent="0" shrinkToFit="false"/>
      <protection locked="true" hidden="false"/>
    </xf>
    <xf numFmtId="164" fontId="4" fillId="0" borderId="40" xfId="0" applyFont="true" applyBorder="true" applyAlignment="true" applyProtection="false">
      <alignment horizontal="left" vertical="center" textRotation="0" wrapText="false" indent="0" shrinkToFit="false"/>
      <protection locked="true" hidden="false"/>
    </xf>
    <xf numFmtId="166" fontId="4" fillId="0" borderId="6" xfId="0" applyFont="true" applyBorder="true" applyAlignment="true" applyProtection="true">
      <alignment horizontal="center" vertical="center" textRotation="0" wrapText="false" indent="0" shrinkToFit="false"/>
      <protection locked="false" hidden="false"/>
    </xf>
    <xf numFmtId="164" fontId="39" fillId="3" borderId="0" xfId="0" applyFont="true" applyBorder="true" applyAlignment="true" applyProtection="false">
      <alignment horizontal="center" vertical="center" textRotation="0" wrapText="false" indent="0" shrinkToFit="false"/>
      <protection locked="true" hidden="false"/>
    </xf>
    <xf numFmtId="164" fontId="39" fillId="3" borderId="0" xfId="0" applyFont="true" applyBorder="true" applyAlignment="true" applyProtection="false">
      <alignment horizontal="general" vertical="center" textRotation="0" wrapText="false" indent="0" shrinkToFit="false"/>
      <protection locked="true" hidden="false"/>
    </xf>
    <xf numFmtId="164" fontId="4" fillId="0" borderId="17" xfId="0" applyFont="true" applyBorder="true" applyAlignment="true" applyProtection="false">
      <alignment horizontal="left" vertical="center" textRotation="0" wrapText="false" indent="0" shrinkToFit="false"/>
      <protection locked="true" hidden="false"/>
    </xf>
    <xf numFmtId="166" fontId="4" fillId="0" borderId="12" xfId="0" applyFont="true" applyBorder="true" applyAlignment="true" applyProtection="true">
      <alignment horizontal="center" vertical="center" textRotation="0" wrapText="false" indent="0" shrinkToFit="false"/>
      <protection locked="false" hidden="false"/>
    </xf>
    <xf numFmtId="164" fontId="40" fillId="3" borderId="0" xfId="0" applyFont="true" applyBorder="true" applyAlignment="true" applyProtection="false">
      <alignment horizontal="center" vertical="center" textRotation="0" wrapText="false" indent="0" shrinkToFit="false"/>
      <protection locked="true" hidden="false"/>
    </xf>
    <xf numFmtId="164" fontId="39" fillId="3" borderId="0" xfId="0" applyFont="true" applyBorder="true" applyAlignment="false" applyProtection="false">
      <alignment horizontal="general" vertical="bottom" textRotation="0" wrapText="false" indent="0" shrinkToFit="false"/>
      <protection locked="true" hidden="false"/>
    </xf>
    <xf numFmtId="164" fontId="40" fillId="3" borderId="0" xfId="0" applyFont="true" applyBorder="true" applyAlignment="true" applyProtection="false">
      <alignment horizontal="general" vertical="center" textRotation="0" wrapText="false" indent="0" shrinkToFit="false"/>
      <protection locked="true" hidden="false"/>
    </xf>
    <xf numFmtId="164" fontId="40" fillId="3" borderId="0" xfId="0" applyFont="true" applyBorder="true" applyAlignment="true" applyProtection="false">
      <alignment horizontal="center" vertical="center" textRotation="0" wrapText="true" indent="0" shrinkToFit="false"/>
      <protection locked="true" hidden="false"/>
    </xf>
    <xf numFmtId="165" fontId="36" fillId="3" borderId="0" xfId="0" applyFont="true" applyBorder="true" applyAlignment="true" applyProtection="false">
      <alignment horizontal="left" vertical="bottom" textRotation="0" wrapText="false" indent="0" shrinkToFit="false"/>
      <protection locked="true" hidden="false"/>
    </xf>
    <xf numFmtId="164" fontId="4" fillId="3" borderId="3"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51" xfId="0" applyFont="true" applyBorder="true" applyAlignment="true" applyProtection="false">
      <alignment horizontal="center" vertical="center" textRotation="0" wrapText="false" indent="0" shrinkToFit="false"/>
      <protection locked="true" hidden="false"/>
    </xf>
    <xf numFmtId="164" fontId="6" fillId="0" borderId="52" xfId="0" applyFont="true" applyBorder="true" applyAlignment="true" applyProtection="false">
      <alignment horizontal="center" vertical="center" textRotation="0" wrapText="false" indent="0" shrinkToFit="false"/>
      <protection locked="true" hidden="false"/>
    </xf>
    <xf numFmtId="165" fontId="20" fillId="3" borderId="7" xfId="20" applyFont="false" applyBorder="true" applyAlignment="true" applyProtection="true">
      <alignment horizontal="center" vertical="center" textRotation="0" wrapText="false" indent="0" shrinkToFit="false"/>
      <protection locked="true" hidden="false"/>
    </xf>
    <xf numFmtId="164" fontId="20" fillId="0" borderId="7" xfId="20" applyFont="false" applyBorder="true" applyAlignment="true" applyProtection="true">
      <alignment horizontal="center" vertical="center" textRotation="0" wrapText="false" indent="0" shrinkToFit="false"/>
      <protection locked="true" hidden="false"/>
    </xf>
    <xf numFmtId="164" fontId="9" fillId="0" borderId="6" xfId="0" applyFont="true" applyBorder="true" applyAlignment="true" applyProtection="true">
      <alignment horizontal="center" vertical="center" textRotation="0" wrapText="false" indent="0" shrinkToFit="false"/>
      <protection locked="false" hidden="false"/>
    </xf>
    <xf numFmtId="164" fontId="9" fillId="0" borderId="7" xfId="0" applyFont="true" applyBorder="true" applyAlignment="true" applyProtection="true">
      <alignment horizontal="center" vertical="center" textRotation="0" wrapText="false" indent="0" shrinkToFit="false"/>
      <protection locked="false" hidden="false"/>
    </xf>
    <xf numFmtId="165" fontId="20" fillId="3" borderId="13" xfId="20" applyFont="false" applyBorder="true" applyAlignment="true" applyProtection="true">
      <alignment horizontal="center" vertical="center" textRotation="0" wrapText="false" indent="0" shrinkToFit="false"/>
      <protection locked="true" hidden="false"/>
    </xf>
    <xf numFmtId="164" fontId="20" fillId="0" borderId="13" xfId="20" applyFont="false" applyBorder="true" applyAlignment="true" applyProtection="true">
      <alignment horizontal="center" vertical="center" textRotation="0" wrapText="false" indent="0" shrinkToFit="false"/>
      <protection locked="true" hidden="false"/>
    </xf>
    <xf numFmtId="164" fontId="9" fillId="0" borderId="12" xfId="0" applyFont="true" applyBorder="true" applyAlignment="true" applyProtection="true">
      <alignment horizontal="center" vertical="center" textRotation="0" wrapText="false" indent="0" shrinkToFit="false"/>
      <protection locked="false" hidden="false"/>
    </xf>
    <xf numFmtId="164" fontId="9" fillId="0" borderId="13" xfId="0" applyFont="true" applyBorder="true" applyAlignment="true" applyProtection="true">
      <alignment horizontal="center" vertical="center" textRotation="0" wrapText="false" indent="0" shrinkToFit="false"/>
      <protection locked="false" hidden="false"/>
    </xf>
    <xf numFmtId="164" fontId="4" fillId="3" borderId="64" xfId="0" applyFont="true" applyBorder="true" applyAlignment="true" applyProtection="false">
      <alignment horizontal="general" vertical="center" textRotation="0" wrapText="false" indent="0" shrinkToFit="false"/>
      <protection locked="true" hidden="false"/>
    </xf>
    <xf numFmtId="164" fontId="9" fillId="0" borderId="36" xfId="0" applyFont="true" applyBorder="true" applyAlignment="true" applyProtection="true">
      <alignment horizontal="center" vertical="center" textRotation="0" wrapText="false" indent="0" shrinkToFit="false"/>
      <protection locked="false" hidden="false"/>
    </xf>
    <xf numFmtId="165" fontId="20" fillId="3" borderId="36" xfId="20" applyFont="false" applyBorder="true" applyAlignment="true" applyProtection="true">
      <alignment horizontal="center" vertical="center" textRotation="0" wrapText="false" indent="0" shrinkToFit="false"/>
      <protection locked="true" hidden="false"/>
    </xf>
    <xf numFmtId="164" fontId="9" fillId="0" borderId="17" xfId="0" applyFont="true" applyBorder="true" applyAlignment="true" applyProtection="true">
      <alignment horizontal="center" vertical="center" textRotation="0" wrapText="false" indent="0" shrinkToFit="false"/>
      <protection locked="false" hidden="false"/>
    </xf>
    <xf numFmtId="165" fontId="20" fillId="3" borderId="39" xfId="20" applyFont="false" applyBorder="true" applyAlignment="true" applyProtection="true">
      <alignment horizontal="center" vertical="center" textRotation="0" wrapText="false" indent="0" shrinkToFit="false"/>
      <protection locked="true" hidden="false"/>
    </xf>
    <xf numFmtId="164" fontId="20" fillId="0" borderId="37" xfId="20" applyFont="false" applyBorder="true" applyAlignment="true" applyProtection="true">
      <alignment horizontal="center" vertical="center" textRotation="0" wrapText="false" indent="0" shrinkToFit="false"/>
      <protection locked="true" hidden="false"/>
    </xf>
    <xf numFmtId="164" fontId="9" fillId="0" borderId="20" xfId="0" applyFont="true" applyBorder="true" applyAlignment="true" applyProtection="true">
      <alignment horizontal="center" vertical="center" textRotation="0" wrapText="false" indent="0" shrinkToFit="false"/>
      <protection locked="false" hidden="false"/>
    </xf>
    <xf numFmtId="164" fontId="9" fillId="0" borderId="22" xfId="0" applyFont="true" applyBorder="true" applyAlignment="true" applyProtection="true">
      <alignment horizontal="center" vertical="center" textRotation="0" wrapText="false" indent="0" shrinkToFit="false"/>
      <protection locked="false" hidden="false"/>
    </xf>
    <xf numFmtId="164" fontId="9" fillId="0" borderId="37" xfId="0" applyFont="true" applyBorder="true" applyAlignment="true" applyProtection="true">
      <alignment horizontal="center" vertical="center" textRotation="0" wrapText="false" indent="0" shrinkToFit="false"/>
      <protection locked="false" hidden="false"/>
    </xf>
    <xf numFmtId="165" fontId="9" fillId="3" borderId="29" xfId="0" applyFont="true" applyBorder="true" applyAlignment="true" applyProtection="false">
      <alignment horizontal="general" vertical="center" textRotation="0" wrapText="false" indent="0" shrinkToFit="false"/>
      <protection locked="true" hidden="false"/>
    </xf>
    <xf numFmtId="164" fontId="4" fillId="3" borderId="26" xfId="0" applyFont="true" applyBorder="true" applyAlignment="true" applyProtection="true">
      <alignment horizontal="center" vertical="center" textRotation="0" wrapText="false" indent="0" shrinkToFit="false"/>
      <protection locked="false" hidden="false"/>
    </xf>
    <xf numFmtId="164" fontId="4" fillId="3" borderId="2" xfId="0" applyFont="true" applyBorder="true" applyAlignment="true" applyProtection="true">
      <alignment horizontal="center" vertical="center" textRotation="0" wrapText="false" indent="0" shrinkToFit="false"/>
      <protection locked="false" hidden="false"/>
    </xf>
    <xf numFmtId="164" fontId="9" fillId="3" borderId="2" xfId="0" applyFont="true" applyBorder="true" applyAlignment="true" applyProtection="true">
      <alignment horizontal="center" vertical="center" textRotation="0" wrapText="false" indent="0" shrinkToFit="false"/>
      <protection locked="false" hidden="false"/>
    </xf>
    <xf numFmtId="164" fontId="9" fillId="3" borderId="1" xfId="0" applyFont="true" applyBorder="true" applyAlignment="true" applyProtection="true">
      <alignment horizontal="center" vertical="center" textRotation="0" wrapText="false" indent="0" shrinkToFit="false"/>
      <protection locked="false" hidden="false"/>
    </xf>
    <xf numFmtId="164" fontId="9" fillId="3" borderId="3" xfId="0" applyFont="true" applyBorder="true" applyAlignment="true" applyProtection="true">
      <alignment horizontal="center" vertical="center" textRotation="0" wrapText="false" indent="0" shrinkToFit="false"/>
      <protection locked="false" hidden="false"/>
    </xf>
    <xf numFmtId="165" fontId="4" fillId="0" borderId="49" xfId="0" applyFont="true" applyBorder="true" applyAlignment="true" applyProtection="true">
      <alignment horizontal="general" vertical="center" textRotation="0" wrapText="false" indent="0" shrinkToFit="false"/>
      <protection locked="false" hidden="false"/>
    </xf>
    <xf numFmtId="164" fontId="4" fillId="0" borderId="50" xfId="0" applyFont="true" applyBorder="true" applyAlignment="true" applyProtection="false">
      <alignment horizontal="general" vertical="center" textRotation="0" wrapText="false" indent="0" shrinkToFit="false"/>
      <protection locked="true" hidden="false"/>
    </xf>
    <xf numFmtId="164" fontId="4" fillId="0" borderId="50" xfId="0" applyFont="true" applyBorder="true" applyAlignment="true" applyProtection="false">
      <alignment horizontal="center" vertical="center" textRotation="0" wrapText="false" indent="0" shrinkToFit="false"/>
      <protection locked="true" hidden="false"/>
    </xf>
    <xf numFmtId="164" fontId="4" fillId="0" borderId="60" xfId="0" applyFont="true" applyBorder="true" applyAlignment="true" applyProtection="false">
      <alignment horizontal="general" vertical="center" textRotation="0" wrapText="false" indent="0" shrinkToFit="false"/>
      <protection locked="true" hidden="false"/>
    </xf>
    <xf numFmtId="164" fontId="9" fillId="0" borderId="52"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center" vertical="center" textRotation="0" wrapText="false" indent="0" shrinkToFit="false"/>
      <protection locked="true" hidden="false"/>
    </xf>
    <xf numFmtId="164" fontId="4" fillId="0" borderId="11" xfId="0" applyFont="true" applyBorder="true" applyAlignment="true" applyProtection="false">
      <alignment horizontal="center" vertical="center" textRotation="0" wrapText="false" indent="0" shrinkToFit="false"/>
      <protection locked="true" hidden="false"/>
    </xf>
    <xf numFmtId="164" fontId="4" fillId="0" borderId="20"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general" vertical="center" textRotation="0" wrapText="false" indent="0" shrinkToFit="false"/>
      <protection locked="true" hidden="false"/>
    </xf>
    <xf numFmtId="164" fontId="4" fillId="3" borderId="3" xfId="0" applyFont="true" applyBorder="true" applyAlignment="true" applyProtection="true">
      <alignment horizontal="center" vertical="center" textRotation="0" wrapText="false" indent="0" shrinkToFit="false"/>
      <protection locked="false" hidden="false"/>
    </xf>
    <xf numFmtId="164" fontId="9" fillId="3" borderId="4" xfId="0" applyFont="true" applyBorder="true" applyAlignment="true" applyProtection="true">
      <alignment horizontal="center" vertical="center" textRotation="0" wrapText="false" indent="0" shrinkToFit="false"/>
      <protection locked="false" hidden="false"/>
    </xf>
    <xf numFmtId="164" fontId="9" fillId="0" borderId="1" xfId="0" applyFont="true" applyBorder="true" applyAlignment="true" applyProtection="true">
      <alignment horizontal="center" vertical="center" textRotation="0" wrapText="false" indent="0" shrinkToFit="false"/>
      <protection locked="false" hidden="false"/>
    </xf>
    <xf numFmtId="164" fontId="4" fillId="0" borderId="65" xfId="0" applyFont="true" applyBorder="true" applyAlignment="true" applyProtection="false">
      <alignment horizontal="general" vertical="center" textRotation="0" wrapText="false" indent="0" shrinkToFit="false"/>
      <protection locked="true" hidden="false"/>
    </xf>
    <xf numFmtId="164" fontId="4" fillId="0" borderId="66"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20" fillId="0" borderId="15" xfId="20" applyFont="false" applyBorder="true" applyAlignment="true" applyProtection="true">
      <alignment horizontal="center"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4" fillId="0" borderId="56" xfId="0" applyFont="true" applyBorder="true" applyAlignment="true" applyProtection="false">
      <alignment horizontal="center" vertical="center" textRotation="0" wrapText="false" indent="0" shrinkToFit="false"/>
      <protection locked="true" hidden="false"/>
    </xf>
    <xf numFmtId="165" fontId="4" fillId="3" borderId="3" xfId="0" applyFont="true" applyBorder="tru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29" fillId="3" borderId="0" xfId="0" applyFont="true" applyBorder="true" applyAlignment="true" applyProtection="false">
      <alignment horizontal="center" vertical="center" textRotation="0" wrapText="false" indent="0" shrinkToFit="false"/>
      <protection locked="true" hidden="false"/>
    </xf>
    <xf numFmtId="164" fontId="29" fillId="3" borderId="0" xfId="0" applyFont="true" applyBorder="true" applyAlignment="true" applyProtection="false">
      <alignment horizontal="general" vertical="center" textRotation="0" wrapText="false" indent="0" shrinkToFit="false"/>
      <protection locked="true" hidden="false"/>
    </xf>
    <xf numFmtId="164" fontId="41" fillId="3" borderId="0" xfId="0" applyFont="true" applyBorder="true" applyAlignment="true" applyProtection="false">
      <alignment horizontal="left" vertical="bottom" textRotation="0" wrapText="false" indent="0" shrinkToFit="false"/>
      <protection locked="true" hidden="false"/>
    </xf>
    <xf numFmtId="164" fontId="42" fillId="3" borderId="0" xfId="0" applyFont="true" applyBorder="true" applyAlignment="true" applyProtection="false">
      <alignment horizontal="left" vertical="bottom" textRotation="0" wrapText="false" indent="0" shrinkToFit="false"/>
      <protection locked="true" hidden="false"/>
    </xf>
    <xf numFmtId="164" fontId="43" fillId="3" borderId="0" xfId="0" applyFont="true" applyBorder="true" applyAlignment="true" applyProtection="false">
      <alignment horizontal="center" vertical="center" textRotation="0" wrapText="false" indent="0" shrinkToFit="false"/>
      <protection locked="true" hidden="false"/>
    </xf>
    <xf numFmtId="164" fontId="43" fillId="3" borderId="0" xfId="0" applyFont="true" applyBorder="true" applyAlignment="true" applyProtection="false">
      <alignment horizontal="general" vertical="center" textRotation="0" wrapText="false" indent="0" shrinkToFit="false"/>
      <protection locked="true" hidden="false"/>
    </xf>
    <xf numFmtId="164" fontId="43" fillId="3" borderId="0" xfId="0" applyFont="true" applyBorder="true" applyAlignment="false" applyProtection="false">
      <alignment horizontal="general" vertical="bottom" textRotation="0" wrapText="false" indent="0" shrinkToFit="false"/>
      <protection locked="true" hidden="false"/>
    </xf>
    <xf numFmtId="164" fontId="43" fillId="3" borderId="0" xfId="0" applyFont="true" applyBorder="true" applyAlignment="true" applyProtection="false">
      <alignment horizontal="general" vertical="center" textRotation="0" wrapText="true" indent="0" shrinkToFit="false"/>
      <protection locked="true" hidden="false"/>
    </xf>
    <xf numFmtId="164" fontId="43" fillId="3" borderId="0" xfId="0" applyFont="true" applyBorder="true" applyAlignment="true" applyProtection="false">
      <alignment horizontal="center" vertical="center" textRotation="0" wrapText="true" indent="0" shrinkToFit="false"/>
      <protection locked="true" hidden="false"/>
    </xf>
    <xf numFmtId="165" fontId="44" fillId="0" borderId="0" xfId="0" applyFont="true" applyBorder="false" applyAlignment="true" applyProtection="true">
      <alignment horizontal="general" vertical="center" textRotation="0" wrapText="false" indent="0" shrinkToFit="false"/>
      <protection locked="false" hidden="false"/>
    </xf>
    <xf numFmtId="164" fontId="9" fillId="4" borderId="4" xfId="0" applyFont="true" applyBorder="true" applyAlignment="true" applyProtection="false">
      <alignment horizontal="center" vertical="center" textRotation="0" wrapText="true" indent="0" shrinkToFit="false"/>
      <protection locked="true" hidden="false"/>
    </xf>
    <xf numFmtId="164" fontId="9" fillId="4" borderId="67" xfId="0" applyFont="true" applyBorder="true" applyAlignment="true" applyProtection="false">
      <alignment horizontal="center" vertical="center" textRotation="0" wrapText="true" indent="0" shrinkToFit="false"/>
      <protection locked="true" hidden="false"/>
    </xf>
    <xf numFmtId="164" fontId="4" fillId="0" borderId="42" xfId="0" applyFont="true" applyBorder="true" applyAlignment="true" applyProtection="false">
      <alignment horizontal="center" vertical="center" textRotation="0" wrapText="false" indent="0" shrinkToFit="false"/>
      <protection locked="true" hidden="false"/>
    </xf>
    <xf numFmtId="164" fontId="12" fillId="0" borderId="9" xfId="0" applyFont="true" applyBorder="true" applyAlignment="true" applyProtection="false">
      <alignment horizontal="general" vertical="center" textRotation="0" wrapText="false" indent="0" shrinkToFit="false"/>
      <protection locked="true" hidden="false"/>
    </xf>
    <xf numFmtId="164" fontId="4" fillId="0" borderId="68" xfId="0" applyFont="true" applyBorder="true" applyAlignment="true" applyProtection="false">
      <alignment horizontal="general" vertical="center" textRotation="0" wrapText="true" indent="0" shrinkToFit="false"/>
      <protection locked="true" hidden="false"/>
    </xf>
    <xf numFmtId="164" fontId="20" fillId="0" borderId="14" xfId="20" applyFont="false" applyBorder="true" applyAlignment="true" applyProtection="true">
      <alignment horizontal="center" vertical="center" textRotation="0" wrapText="false" indent="0" shrinkToFit="false"/>
      <protection locked="true" hidden="false"/>
    </xf>
    <xf numFmtId="164" fontId="4" fillId="0" borderId="43" xfId="0" applyFont="true" applyBorder="true" applyAlignment="true" applyProtection="false">
      <alignment horizontal="center" vertical="center" textRotation="0" wrapText="false" indent="0" shrinkToFit="false"/>
      <protection locked="true" hidden="false"/>
    </xf>
    <xf numFmtId="164" fontId="12" fillId="0" borderId="15" xfId="0" applyFont="true" applyBorder="true" applyAlignment="true" applyProtection="false">
      <alignment horizontal="general" vertical="center" textRotation="0" wrapText="false" indent="0" shrinkToFit="false"/>
      <protection locked="true" hidden="false"/>
    </xf>
    <xf numFmtId="164" fontId="4" fillId="0" borderId="69" xfId="0" applyFont="true" applyBorder="true" applyAlignment="true" applyProtection="false">
      <alignment horizontal="general" vertical="center" textRotation="0" wrapText="true" indent="0" shrinkToFit="false"/>
      <protection locked="true" hidden="false"/>
    </xf>
    <xf numFmtId="164" fontId="4" fillId="0" borderId="44" xfId="0" applyFont="true" applyBorder="true" applyAlignment="true" applyProtection="false">
      <alignment horizontal="center" vertical="center" textRotation="0" wrapText="false" indent="0" shrinkToFit="false"/>
      <protection locked="true" hidden="false"/>
    </xf>
    <xf numFmtId="164" fontId="4" fillId="3" borderId="26" xfId="0" applyFont="true" applyBorder="true" applyAlignment="true" applyProtection="false">
      <alignment horizontal="general" vertical="center" textRotation="0" wrapText="false" indent="0" shrinkToFit="false"/>
      <protection locked="true" hidden="false"/>
    </xf>
    <xf numFmtId="164" fontId="4" fillId="3" borderId="48" xfId="0" applyFont="true" applyBorder="true" applyAlignment="true" applyProtection="false">
      <alignment horizontal="general" vertical="center" textRotation="0" wrapText="false" indent="0" shrinkToFit="false"/>
      <protection locked="true" hidden="false"/>
    </xf>
    <xf numFmtId="164" fontId="4" fillId="3" borderId="67" xfId="0" applyFont="true" applyBorder="true" applyAlignment="true" applyProtection="false">
      <alignment horizontal="general" vertical="center" textRotation="0" wrapText="false" indent="0" shrinkToFit="false"/>
      <protection locked="true" hidden="false"/>
    </xf>
    <xf numFmtId="164" fontId="4" fillId="3" borderId="2" xfId="0" applyFont="true" applyBorder="true" applyAlignment="true" applyProtection="false">
      <alignment horizontal="general" vertical="center" textRotation="0" wrapText="false" indent="0" shrinkToFit="false"/>
      <protection locked="true" hidden="false"/>
    </xf>
    <xf numFmtId="164" fontId="4" fillId="0" borderId="21" xfId="0" applyFont="true" applyBorder="true" applyAlignment="true" applyProtection="false">
      <alignment horizontal="left" vertical="center" textRotation="0" wrapText="false" indent="0" shrinkToFit="false"/>
      <protection locked="true" hidden="false"/>
    </xf>
    <xf numFmtId="164" fontId="9" fillId="3" borderId="3" xfId="0" applyFont="true" applyBorder="true" applyAlignment="true" applyProtection="false">
      <alignment horizontal="left"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30" fillId="3" borderId="0" xfId="0" applyFont="true" applyBorder="false" applyAlignment="true" applyProtection="false">
      <alignment horizontal="center" vertical="bottom" textRotation="0" wrapText="false" indent="0" shrinkToFit="false"/>
      <protection locked="true" hidden="false"/>
    </xf>
    <xf numFmtId="164" fontId="20" fillId="0" borderId="6" xfId="20" applyFont="false" applyBorder="true" applyAlignment="true" applyProtection="true">
      <alignment horizontal="center" vertical="center" textRotation="0" wrapText="false" indent="0" shrinkToFit="false"/>
      <protection locked="true" hidden="false"/>
    </xf>
    <xf numFmtId="164" fontId="20" fillId="0" borderId="9" xfId="20" applyFont="false" applyBorder="true" applyAlignment="true" applyProtection="true">
      <alignment horizontal="center" vertical="center" textRotation="0" wrapText="false" indent="0" shrinkToFit="false"/>
      <protection locked="true" hidden="false"/>
    </xf>
    <xf numFmtId="164" fontId="20" fillId="0" borderId="34" xfId="20" applyFont="false" applyBorder="true" applyAlignment="true" applyProtection="true">
      <alignment horizontal="center" vertical="center" textRotation="0" wrapText="false" indent="0" shrinkToFit="false"/>
      <protection locked="true" hidden="false"/>
    </xf>
    <xf numFmtId="164" fontId="20" fillId="0" borderId="12" xfId="20" applyFont="false" applyBorder="true" applyAlignment="true" applyProtection="true">
      <alignment horizontal="center" vertical="center" textRotation="0" wrapText="false" indent="0" shrinkToFit="false"/>
      <protection locked="true" hidden="false"/>
    </xf>
    <xf numFmtId="164" fontId="20" fillId="0" borderId="36" xfId="20" applyFont="false" applyBorder="true" applyAlignment="true" applyProtection="true">
      <alignment horizontal="center" vertical="center" textRotation="0" wrapText="false" indent="0" shrinkToFit="false"/>
      <protection locked="true" hidden="false"/>
    </xf>
    <xf numFmtId="164" fontId="7" fillId="0" borderId="70" xfId="0" applyFont="true" applyBorder="true" applyAlignment="true" applyProtection="false">
      <alignment horizontal="center" vertical="center" textRotation="0" wrapText="false" indent="0" shrinkToFit="false"/>
      <protection locked="true" hidden="false"/>
    </xf>
    <xf numFmtId="164" fontId="20" fillId="0" borderId="22" xfId="20" applyFont="false" applyBorder="true" applyAlignment="true" applyProtection="true">
      <alignment horizontal="center" vertical="center" textRotation="0" wrapText="false" indent="0" shrinkToFit="false"/>
      <protection locked="true" hidden="false"/>
    </xf>
    <xf numFmtId="164" fontId="20" fillId="0" borderId="38" xfId="20" applyFont="false" applyBorder="true" applyAlignment="true" applyProtection="true">
      <alignment horizontal="center" vertical="center" textRotation="0" wrapText="false" indent="0" shrinkToFit="false"/>
      <protection locked="true" hidden="false"/>
    </xf>
    <xf numFmtId="164" fontId="20" fillId="0" borderId="39" xfId="20" applyFont="false" applyBorder="true" applyAlignment="true" applyProtection="true">
      <alignment horizontal="center" vertical="center" textRotation="0" wrapText="false" indent="0" shrinkToFit="false"/>
      <protection locked="true" hidden="false"/>
    </xf>
    <xf numFmtId="164" fontId="34" fillId="3" borderId="0"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_BuiltIn_Neutro"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W89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4.53515625" defaultRowHeight="15" zeroHeight="false" outlineLevelRow="0" outlineLevelCol="0"/>
  <cols>
    <col collapsed="false" customWidth="true" hidden="false" outlineLevel="0" max="1" min="1" style="1" width="60.17"/>
    <col collapsed="false" customWidth="true" hidden="false" outlineLevel="0" max="2" min="2" style="1" width="22.44"/>
    <col collapsed="false" customWidth="true" hidden="false" outlineLevel="0" max="4" min="3" style="1" width="25.53"/>
    <col collapsed="false" customWidth="true" hidden="false" outlineLevel="0" max="5" min="5" style="1" width="28.99"/>
    <col collapsed="false" customWidth="true" hidden="false" outlineLevel="0" max="8" min="6" style="1" width="27.53"/>
    <col collapsed="false" customWidth="true" hidden="false" outlineLevel="0" max="9" min="9" style="1" width="31.53"/>
    <col collapsed="false" customWidth="true" hidden="false" outlineLevel="0" max="10" min="10" style="1" width="22.44"/>
    <col collapsed="false" customWidth="true" hidden="false" outlineLevel="0" max="11" min="11" style="1" width="22.99"/>
    <col collapsed="false" customWidth="true" hidden="false" outlineLevel="0" max="12" min="12" style="2" width="22.44"/>
    <col collapsed="false" customWidth="true" hidden="false" outlineLevel="0" max="15" min="13" style="1" width="22.44"/>
    <col collapsed="false" customWidth="true" hidden="false" outlineLevel="0" max="18" min="16" style="1" width="10.81"/>
    <col collapsed="false" customWidth="true" hidden="false" outlineLevel="0" max="19" min="19" style="1" width="9.44"/>
    <col collapsed="false" customWidth="true" hidden="false" outlineLevel="0" max="20" min="20" style="1" width="14.99"/>
    <col collapsed="false" customWidth="true" hidden="true" outlineLevel="0" max="21" min="21" style="3" width="15.53"/>
    <col collapsed="false" customWidth="true" hidden="true" outlineLevel="0" max="22" min="22" style="3" width="19.53"/>
    <col collapsed="false" customWidth="true" hidden="true" outlineLevel="0" max="23" min="23" style="3" width="5.17"/>
    <col collapsed="false" customWidth="false" hidden="true" outlineLevel="0" max="25" min="24" style="3" width="4.53"/>
    <col collapsed="false" customWidth="true" hidden="true" outlineLevel="0" max="26" min="26" style="3" width="10.44"/>
    <col collapsed="false" customWidth="true" hidden="true" outlineLevel="0" max="27" min="27" style="3" width="8.53"/>
    <col collapsed="false" customWidth="true" hidden="true" outlineLevel="0" max="28" min="28" style="3" width="28.99"/>
    <col collapsed="false" customWidth="true" hidden="true" outlineLevel="0" max="29" min="29" style="3" width="5.99"/>
    <col collapsed="false" customWidth="true" hidden="true" outlineLevel="0" max="30" min="30" style="3" width="79.99"/>
    <col collapsed="false" customWidth="true" hidden="false" outlineLevel="0" max="31" min="31" style="4" width="11.44"/>
    <col collapsed="false" customWidth="true" hidden="false" outlineLevel="0" max="32" min="32" style="4" width="29.44"/>
    <col collapsed="false" customWidth="false" hidden="false" outlineLevel="0" max="33" min="33" style="4" width="4.53"/>
    <col collapsed="false" customWidth="true" hidden="false" outlineLevel="0" max="34" min="34" style="4" width="11.44"/>
    <col collapsed="false" customWidth="true" hidden="false" outlineLevel="0" max="35" min="35" style="4" width="77.44"/>
    <col collapsed="false" customWidth="false" hidden="false" outlineLevel="0" max="36" min="36" style="4" width="4.53"/>
    <col collapsed="false" customWidth="true" hidden="false" outlineLevel="0" max="37" min="37" style="4" width="152.17"/>
    <col collapsed="false" customWidth="true" hidden="false" outlineLevel="0" max="38" min="38" style="4" width="61.44"/>
    <col collapsed="false" customWidth="false" hidden="false" outlineLevel="0" max="59" min="39" style="4" width="4.53"/>
    <col collapsed="false" customWidth="false" hidden="true" outlineLevel="0" max="257" min="60" style="5" width="4.53"/>
  </cols>
  <sheetData>
    <row r="2" customFormat="false" ht="15" hidden="false" customHeight="true" outlineLevel="0" collapsed="false">
      <c r="A2" s="6" t="s">
        <v>0</v>
      </c>
      <c r="B2" s="6"/>
      <c r="C2" s="6"/>
      <c r="D2" s="6"/>
      <c r="E2" s="6"/>
      <c r="F2" s="6"/>
      <c r="G2" s="6"/>
      <c r="H2" s="6"/>
      <c r="I2" s="6"/>
      <c r="J2" s="6"/>
      <c r="K2" s="6"/>
      <c r="L2" s="6"/>
      <c r="M2" s="6"/>
      <c r="N2" s="6"/>
      <c r="O2" s="6"/>
      <c r="P2" s="6"/>
      <c r="Q2" s="6"/>
      <c r="R2" s="7"/>
    </row>
    <row r="3" customFormat="false" ht="15" hidden="false" customHeight="true" outlineLevel="0" collapsed="false">
      <c r="A3" s="8" t="s">
        <v>1</v>
      </c>
      <c r="B3" s="9"/>
      <c r="C3" s="9"/>
      <c r="D3" s="9"/>
      <c r="E3" s="9"/>
      <c r="F3" s="9"/>
      <c r="G3" s="9"/>
      <c r="H3" s="9"/>
      <c r="I3" s="9"/>
      <c r="J3" s="9"/>
      <c r="K3" s="9"/>
      <c r="L3" s="9"/>
      <c r="M3" s="9"/>
      <c r="N3" s="9"/>
      <c r="O3" s="9"/>
      <c r="P3" s="9"/>
      <c r="Q3" s="9"/>
      <c r="R3" s="7"/>
    </row>
    <row r="4" customFormat="false" ht="15" hidden="false" customHeight="true" outlineLevel="0" collapsed="false">
      <c r="A4" s="10" t="s">
        <v>2</v>
      </c>
      <c r="B4" s="10"/>
      <c r="C4" s="10"/>
      <c r="D4" s="10"/>
      <c r="E4" s="10"/>
      <c r="F4" s="10"/>
      <c r="G4" s="10"/>
      <c r="H4" s="10"/>
      <c r="I4" s="10"/>
      <c r="J4" s="10"/>
      <c r="K4" s="10"/>
      <c r="L4" s="11"/>
      <c r="M4" s="12"/>
      <c r="N4" s="13"/>
      <c r="O4" s="13"/>
      <c r="P4" s="13"/>
      <c r="Q4" s="13"/>
      <c r="R4" s="13"/>
      <c r="S4" s="13"/>
      <c r="T4" s="13"/>
      <c r="U4" s="14"/>
      <c r="V4" s="14"/>
      <c r="W4" s="14"/>
      <c r="X4" s="14"/>
      <c r="Y4" s="14"/>
      <c r="Z4" s="14"/>
      <c r="AA4" s="14"/>
    </row>
    <row r="5" customFormat="false" ht="15" hidden="false" customHeight="true" outlineLevel="0" collapsed="false">
      <c r="A5" s="15" t="s">
        <v>3</v>
      </c>
      <c r="B5" s="16" t="s">
        <v>4</v>
      </c>
      <c r="C5" s="16" t="s">
        <v>5</v>
      </c>
      <c r="D5" s="16"/>
      <c r="E5" s="17" t="s">
        <v>6</v>
      </c>
      <c r="F5" s="15" t="s">
        <v>7</v>
      </c>
      <c r="G5" s="15" t="s">
        <v>8</v>
      </c>
      <c r="H5" s="15" t="s">
        <v>9</v>
      </c>
      <c r="I5" s="15" t="s">
        <v>10</v>
      </c>
      <c r="J5" s="15" t="s">
        <v>11</v>
      </c>
      <c r="K5" s="15"/>
      <c r="L5" s="15"/>
      <c r="M5" s="18" t="s">
        <v>12</v>
      </c>
      <c r="N5" s="19"/>
      <c r="O5" s="13"/>
      <c r="P5" s="13"/>
      <c r="Q5" s="13"/>
      <c r="R5" s="13"/>
      <c r="S5" s="13"/>
      <c r="T5" s="13"/>
      <c r="U5" s="14"/>
    </row>
    <row r="6" customFormat="false" ht="15" hidden="false" customHeight="true" outlineLevel="0" collapsed="false">
      <c r="A6" s="15"/>
      <c r="B6" s="16"/>
      <c r="C6" s="16" t="s">
        <v>13</v>
      </c>
      <c r="D6" s="16" t="s">
        <v>14</v>
      </c>
      <c r="E6" s="17"/>
      <c r="F6" s="15"/>
      <c r="G6" s="15"/>
      <c r="H6" s="15"/>
      <c r="I6" s="15"/>
      <c r="J6" s="15" t="s">
        <v>15</v>
      </c>
      <c r="K6" s="20" t="s">
        <v>16</v>
      </c>
      <c r="L6" s="21" t="s">
        <v>17</v>
      </c>
      <c r="M6" s="18" t="s">
        <v>18</v>
      </c>
      <c r="N6" s="19"/>
      <c r="O6" s="13"/>
      <c r="P6" s="13"/>
      <c r="Q6" s="13"/>
      <c r="R6" s="13"/>
      <c r="S6" s="13"/>
      <c r="T6" s="13"/>
      <c r="U6" s="14"/>
    </row>
    <row r="7" customFormat="false" ht="15" hidden="false" customHeight="true" outlineLevel="0" collapsed="false">
      <c r="A7" s="22" t="s">
        <v>19</v>
      </c>
      <c r="B7" s="23"/>
      <c r="C7" s="24"/>
      <c r="D7" s="25"/>
      <c r="E7" s="26"/>
      <c r="F7" s="27"/>
      <c r="G7" s="28"/>
      <c r="H7" s="27"/>
      <c r="I7" s="29"/>
      <c r="J7" s="30"/>
      <c r="K7" s="31"/>
      <c r="L7" s="32" t="n">
        <f aca="false">$J$7+$K$7</f>
        <v>0</v>
      </c>
      <c r="M7" s="33" t="str">
        <f aca="false">IF(I7-E7&lt;0,"False","OK")</f>
        <v>OK</v>
      </c>
      <c r="N7" s="34"/>
      <c r="O7" s="13"/>
      <c r="P7" s="13"/>
      <c r="Q7" s="13"/>
      <c r="R7" s="13"/>
      <c r="S7" s="13"/>
      <c r="T7" s="13"/>
      <c r="U7" s="14"/>
    </row>
    <row r="8" customFormat="false" ht="15" hidden="false" customHeight="true" outlineLevel="0" collapsed="false">
      <c r="A8" s="35" t="s">
        <v>20</v>
      </c>
      <c r="B8" s="36"/>
      <c r="C8" s="37"/>
      <c r="D8" s="38"/>
      <c r="E8" s="39"/>
      <c r="F8" s="40"/>
      <c r="G8" s="41"/>
      <c r="H8" s="40"/>
      <c r="I8" s="42"/>
      <c r="J8" s="43"/>
      <c r="K8" s="44"/>
      <c r="L8" s="45" t="n">
        <f aca="false">$J$8+$K$8</f>
        <v>0</v>
      </c>
      <c r="M8" s="33" t="str">
        <f aca="false">IF(I8-E8&lt;0,"False","OK")</f>
        <v>OK</v>
      </c>
      <c r="N8" s="34"/>
      <c r="O8" s="13"/>
      <c r="P8" s="13"/>
      <c r="Q8" s="13"/>
      <c r="R8" s="13"/>
      <c r="S8" s="13"/>
      <c r="T8" s="13"/>
      <c r="U8" s="14"/>
    </row>
    <row r="9" customFormat="false" ht="15" hidden="false" customHeight="true" outlineLevel="0" collapsed="false">
      <c r="A9" s="35" t="s">
        <v>21</v>
      </c>
      <c r="B9" s="36"/>
      <c r="C9" s="37"/>
      <c r="D9" s="38"/>
      <c r="E9" s="39"/>
      <c r="F9" s="40"/>
      <c r="G9" s="41"/>
      <c r="H9" s="40"/>
      <c r="I9" s="42"/>
      <c r="J9" s="43"/>
      <c r="K9" s="44"/>
      <c r="L9" s="45" t="n">
        <f aca="false">$J$9+$K$9</f>
        <v>0</v>
      </c>
      <c r="M9" s="33" t="str">
        <f aca="false">IF(I9-E9&lt;0,"False","OK")</f>
        <v>OK</v>
      </c>
      <c r="N9" s="34"/>
      <c r="O9" s="13"/>
      <c r="P9" s="13"/>
      <c r="Q9" s="13"/>
      <c r="R9" s="13"/>
      <c r="S9" s="13"/>
      <c r="T9" s="13"/>
      <c r="U9" s="14"/>
    </row>
    <row r="10" customFormat="false" ht="15" hidden="false" customHeight="true" outlineLevel="0" collapsed="false">
      <c r="A10" s="35" t="s">
        <v>22</v>
      </c>
      <c r="B10" s="36"/>
      <c r="C10" s="37"/>
      <c r="D10" s="38"/>
      <c r="E10" s="39"/>
      <c r="F10" s="40"/>
      <c r="G10" s="41"/>
      <c r="H10" s="40"/>
      <c r="I10" s="42"/>
      <c r="J10" s="43"/>
      <c r="K10" s="44"/>
      <c r="L10" s="45" t="n">
        <f aca="false">$J$10+$K$10</f>
        <v>0</v>
      </c>
      <c r="M10" s="33" t="str">
        <f aca="false">IF(I10-E10&lt;0,"False","OK")</f>
        <v>OK</v>
      </c>
      <c r="N10" s="34"/>
      <c r="O10" s="13"/>
      <c r="P10" s="13"/>
      <c r="Q10" s="13"/>
      <c r="R10" s="13"/>
      <c r="S10" s="13"/>
      <c r="T10" s="13"/>
      <c r="U10" s="14"/>
    </row>
    <row r="11" customFormat="false" ht="15" hidden="false" customHeight="true" outlineLevel="0" collapsed="false">
      <c r="A11" s="35" t="s">
        <v>23</v>
      </c>
      <c r="B11" s="36"/>
      <c r="C11" s="37"/>
      <c r="D11" s="38"/>
      <c r="E11" s="39"/>
      <c r="F11" s="40"/>
      <c r="G11" s="41"/>
      <c r="H11" s="40"/>
      <c r="I11" s="42"/>
      <c r="J11" s="43"/>
      <c r="K11" s="44"/>
      <c r="L11" s="45" t="n">
        <f aca="false">$J$11+$K$11</f>
        <v>0</v>
      </c>
      <c r="M11" s="33" t="str">
        <f aca="false">IF(I11-E11&lt;0,"False","OK")</f>
        <v>OK</v>
      </c>
      <c r="N11" s="34"/>
      <c r="O11" s="13"/>
      <c r="P11" s="13"/>
      <c r="Q11" s="13"/>
      <c r="R11" s="13"/>
      <c r="S11" s="13"/>
      <c r="T11" s="13"/>
      <c r="U11" s="14"/>
    </row>
    <row r="12" customFormat="false" ht="15" hidden="false" customHeight="true" outlineLevel="0" collapsed="false">
      <c r="A12" s="35" t="s">
        <v>24</v>
      </c>
      <c r="B12" s="36"/>
      <c r="C12" s="37"/>
      <c r="D12" s="38"/>
      <c r="E12" s="39"/>
      <c r="F12" s="40"/>
      <c r="G12" s="41"/>
      <c r="H12" s="40"/>
      <c r="I12" s="42"/>
      <c r="J12" s="43"/>
      <c r="K12" s="44"/>
      <c r="L12" s="45" t="n">
        <f aca="false">$J$12+$K$12</f>
        <v>0</v>
      </c>
      <c r="M12" s="33" t="str">
        <f aca="false">IF(I12-E12&lt;0,"False","OK")</f>
        <v>OK</v>
      </c>
      <c r="N12" s="34"/>
      <c r="O12" s="13"/>
      <c r="P12" s="13"/>
      <c r="Q12" s="13"/>
      <c r="R12" s="13"/>
      <c r="S12" s="13"/>
      <c r="T12" s="13"/>
      <c r="U12" s="14"/>
    </row>
    <row r="13" customFormat="false" ht="15" hidden="false" customHeight="true" outlineLevel="0" collapsed="false">
      <c r="A13" s="35" t="s">
        <v>25</v>
      </c>
      <c r="B13" s="36"/>
      <c r="C13" s="37"/>
      <c r="D13" s="38"/>
      <c r="E13" s="39"/>
      <c r="F13" s="40"/>
      <c r="G13" s="41"/>
      <c r="H13" s="40"/>
      <c r="I13" s="42"/>
      <c r="J13" s="43"/>
      <c r="K13" s="44"/>
      <c r="L13" s="45" t="n">
        <f aca="false">$J$13+$K$13</f>
        <v>0</v>
      </c>
      <c r="M13" s="33" t="str">
        <f aca="false">IF(I13-E13&lt;0,"False","OK")</f>
        <v>OK</v>
      </c>
      <c r="N13" s="34"/>
      <c r="O13" s="13"/>
      <c r="P13" s="13"/>
      <c r="Q13" s="13"/>
      <c r="R13" s="13"/>
      <c r="S13" s="13"/>
      <c r="T13" s="13"/>
      <c r="U13" s="14"/>
    </row>
    <row r="14" customFormat="false" ht="15" hidden="false" customHeight="true" outlineLevel="0" collapsed="false">
      <c r="A14" s="35" t="s">
        <v>26</v>
      </c>
      <c r="B14" s="36"/>
      <c r="C14" s="37"/>
      <c r="D14" s="38"/>
      <c r="E14" s="39"/>
      <c r="F14" s="40"/>
      <c r="G14" s="41"/>
      <c r="H14" s="40"/>
      <c r="I14" s="42"/>
      <c r="J14" s="43"/>
      <c r="K14" s="44"/>
      <c r="L14" s="45" t="n">
        <f aca="false">$J$14+$K$14</f>
        <v>0</v>
      </c>
      <c r="M14" s="33" t="str">
        <f aca="false">IF(I14-E14&lt;0,"False","OK")</f>
        <v>OK</v>
      </c>
      <c r="N14" s="34"/>
      <c r="O14" s="13"/>
      <c r="P14" s="13"/>
      <c r="Q14" s="13"/>
      <c r="R14" s="13"/>
      <c r="S14" s="13"/>
      <c r="T14" s="13"/>
      <c r="U14" s="14"/>
    </row>
    <row r="15" customFormat="false" ht="15" hidden="false" customHeight="true" outlineLevel="0" collapsed="false">
      <c r="A15" s="35" t="s">
        <v>27</v>
      </c>
      <c r="B15" s="36"/>
      <c r="C15" s="37"/>
      <c r="D15" s="38"/>
      <c r="E15" s="39"/>
      <c r="F15" s="40"/>
      <c r="G15" s="41"/>
      <c r="H15" s="40"/>
      <c r="I15" s="42"/>
      <c r="J15" s="43"/>
      <c r="K15" s="44"/>
      <c r="L15" s="45" t="n">
        <f aca="false">$J$15+$K$15</f>
        <v>0</v>
      </c>
      <c r="M15" s="33" t="str">
        <f aca="false">IF(I15-E15&lt;0,"False","OK")</f>
        <v>OK</v>
      </c>
      <c r="N15" s="34"/>
      <c r="O15" s="13"/>
      <c r="P15" s="13"/>
      <c r="Q15" s="13"/>
      <c r="R15" s="13"/>
      <c r="S15" s="13"/>
      <c r="T15" s="13"/>
      <c r="U15" s="14"/>
    </row>
    <row r="16" customFormat="false" ht="15" hidden="false" customHeight="true" outlineLevel="0" collapsed="false">
      <c r="A16" s="35" t="s">
        <v>28</v>
      </c>
      <c r="B16" s="36"/>
      <c r="C16" s="37"/>
      <c r="D16" s="38"/>
      <c r="E16" s="39"/>
      <c r="F16" s="40"/>
      <c r="G16" s="41"/>
      <c r="H16" s="40"/>
      <c r="I16" s="42"/>
      <c r="J16" s="43"/>
      <c r="K16" s="44"/>
      <c r="L16" s="45" t="n">
        <f aca="false">$J$16+$K$16</f>
        <v>0</v>
      </c>
      <c r="M16" s="33" t="str">
        <f aca="false">IF(I16-E16&lt;0,"False","OK")</f>
        <v>OK</v>
      </c>
      <c r="N16" s="34"/>
      <c r="O16" s="13"/>
      <c r="P16" s="13"/>
      <c r="Q16" s="13"/>
      <c r="R16" s="13"/>
      <c r="S16" s="13"/>
      <c r="T16" s="13"/>
      <c r="U16" s="14"/>
    </row>
    <row r="17" customFormat="false" ht="15" hidden="false" customHeight="true" outlineLevel="0" collapsed="false">
      <c r="A17" s="35" t="s">
        <v>29</v>
      </c>
      <c r="B17" s="36"/>
      <c r="C17" s="37"/>
      <c r="D17" s="38"/>
      <c r="E17" s="39"/>
      <c r="F17" s="40"/>
      <c r="G17" s="41"/>
      <c r="H17" s="40"/>
      <c r="I17" s="42"/>
      <c r="J17" s="43"/>
      <c r="K17" s="44"/>
      <c r="L17" s="45" t="n">
        <f aca="false">$J$17+$K$17</f>
        <v>0</v>
      </c>
      <c r="M17" s="33" t="str">
        <f aca="false">IF(I17-E17&lt;0,"False","OK")</f>
        <v>OK</v>
      </c>
      <c r="N17" s="34"/>
      <c r="O17" s="13"/>
      <c r="P17" s="13"/>
      <c r="Q17" s="13"/>
      <c r="R17" s="13"/>
      <c r="S17" s="13"/>
      <c r="T17" s="13"/>
      <c r="U17" s="14"/>
    </row>
    <row r="18" customFormat="false" ht="15" hidden="false" customHeight="true" outlineLevel="0" collapsed="false">
      <c r="A18" s="35" t="s">
        <v>30</v>
      </c>
      <c r="B18" s="36"/>
      <c r="C18" s="37"/>
      <c r="D18" s="38"/>
      <c r="E18" s="39"/>
      <c r="F18" s="40"/>
      <c r="G18" s="41"/>
      <c r="H18" s="40"/>
      <c r="I18" s="42"/>
      <c r="J18" s="43"/>
      <c r="K18" s="44"/>
      <c r="L18" s="45" t="n">
        <f aca="false">$J$18+$K$18</f>
        <v>0</v>
      </c>
      <c r="M18" s="33" t="str">
        <f aca="false">IF(I18-E18&lt;0,"False","OK")</f>
        <v>OK</v>
      </c>
      <c r="N18" s="34"/>
      <c r="O18" s="13"/>
      <c r="P18" s="13"/>
      <c r="Q18" s="13"/>
      <c r="R18" s="13"/>
      <c r="S18" s="13"/>
      <c r="T18" s="13"/>
      <c r="U18" s="14"/>
    </row>
    <row r="19" customFormat="false" ht="15" hidden="false" customHeight="true" outlineLevel="0" collapsed="false">
      <c r="A19" s="35" t="s">
        <v>31</v>
      </c>
      <c r="B19" s="36"/>
      <c r="C19" s="37"/>
      <c r="D19" s="38"/>
      <c r="E19" s="39"/>
      <c r="F19" s="40"/>
      <c r="G19" s="41"/>
      <c r="H19" s="40"/>
      <c r="I19" s="42"/>
      <c r="J19" s="43"/>
      <c r="K19" s="44"/>
      <c r="L19" s="45" t="n">
        <f aca="false">$J$19+$K$19</f>
        <v>0</v>
      </c>
      <c r="M19" s="33" t="str">
        <f aca="false">IF(I19-E19&lt;0,"False","OK")</f>
        <v>OK</v>
      </c>
      <c r="N19" s="34"/>
      <c r="O19" s="13"/>
      <c r="P19" s="13"/>
      <c r="Q19" s="13"/>
      <c r="R19" s="13"/>
      <c r="S19" s="13"/>
      <c r="T19" s="13"/>
      <c r="U19" s="14"/>
    </row>
    <row r="20" customFormat="false" ht="15" hidden="false" customHeight="true" outlineLevel="0" collapsed="false">
      <c r="A20" s="35" t="s">
        <v>32</v>
      </c>
      <c r="B20" s="36"/>
      <c r="C20" s="37"/>
      <c r="D20" s="38"/>
      <c r="E20" s="39"/>
      <c r="F20" s="40"/>
      <c r="G20" s="41"/>
      <c r="H20" s="40"/>
      <c r="I20" s="42"/>
      <c r="J20" s="43"/>
      <c r="K20" s="44"/>
      <c r="L20" s="45" t="n">
        <f aca="false">$J$20+$K$20</f>
        <v>0</v>
      </c>
      <c r="M20" s="33" t="str">
        <f aca="false">IF(I20-E20&lt;0,"False","OK")</f>
        <v>OK</v>
      </c>
      <c r="N20" s="34"/>
      <c r="O20" s="13"/>
      <c r="P20" s="13"/>
      <c r="Q20" s="13"/>
      <c r="R20" s="13"/>
      <c r="S20" s="13"/>
      <c r="T20" s="13"/>
      <c r="U20" s="14"/>
    </row>
    <row r="21" customFormat="false" ht="15" hidden="false" customHeight="true" outlineLevel="0" collapsed="false">
      <c r="A21" s="35" t="s">
        <v>33</v>
      </c>
      <c r="B21" s="36"/>
      <c r="C21" s="37"/>
      <c r="D21" s="38"/>
      <c r="E21" s="39"/>
      <c r="F21" s="40"/>
      <c r="G21" s="41"/>
      <c r="H21" s="40"/>
      <c r="I21" s="42"/>
      <c r="J21" s="43"/>
      <c r="K21" s="44"/>
      <c r="L21" s="45" t="n">
        <f aca="false">$J$21+$K$21</f>
        <v>0</v>
      </c>
      <c r="M21" s="33" t="str">
        <f aca="false">IF(I21-E21&lt;0,"False","OK")</f>
        <v>OK</v>
      </c>
      <c r="N21" s="34"/>
      <c r="O21" s="13"/>
      <c r="P21" s="13"/>
      <c r="Q21" s="13"/>
      <c r="R21" s="13"/>
      <c r="S21" s="13"/>
      <c r="T21" s="13"/>
      <c r="U21" s="14"/>
    </row>
    <row r="22" customFormat="false" ht="15" hidden="false" customHeight="true" outlineLevel="0" collapsed="false">
      <c r="A22" s="35" t="s">
        <v>34</v>
      </c>
      <c r="B22" s="36"/>
      <c r="C22" s="37"/>
      <c r="D22" s="38"/>
      <c r="E22" s="39"/>
      <c r="F22" s="40"/>
      <c r="G22" s="41"/>
      <c r="H22" s="40"/>
      <c r="I22" s="42"/>
      <c r="J22" s="43"/>
      <c r="K22" s="44"/>
      <c r="L22" s="45" t="n">
        <f aca="false">$J$22+$K$22</f>
        <v>0</v>
      </c>
      <c r="M22" s="33" t="str">
        <f aca="false">IF(I22-E22&lt;0,"False","OK")</f>
        <v>OK</v>
      </c>
      <c r="N22" s="34"/>
      <c r="O22" s="13"/>
      <c r="P22" s="13"/>
      <c r="Q22" s="13"/>
      <c r="R22" s="13"/>
      <c r="S22" s="13"/>
      <c r="T22" s="13"/>
      <c r="U22" s="14"/>
    </row>
    <row r="23" customFormat="false" ht="15" hidden="false" customHeight="true" outlineLevel="0" collapsed="false">
      <c r="A23" s="35" t="s">
        <v>35</v>
      </c>
      <c r="B23" s="46"/>
      <c r="C23" s="37"/>
      <c r="D23" s="38"/>
      <c r="E23" s="39"/>
      <c r="F23" s="40"/>
      <c r="G23" s="41"/>
      <c r="H23" s="40"/>
      <c r="I23" s="42"/>
      <c r="J23" s="47"/>
      <c r="K23" s="48"/>
      <c r="L23" s="45" t="n">
        <f aca="false">$J$23+$K$23</f>
        <v>0</v>
      </c>
      <c r="M23" s="33" t="str">
        <f aca="false">IF(I23-E23&lt;0,"False","OK")</f>
        <v>OK</v>
      </c>
      <c r="N23" s="34"/>
      <c r="O23" s="13"/>
      <c r="P23" s="13"/>
      <c r="Q23" s="13"/>
      <c r="R23" s="13"/>
      <c r="S23" s="13"/>
      <c r="T23" s="13"/>
      <c r="U23" s="14"/>
    </row>
    <row r="24" customFormat="false" ht="15" hidden="false" customHeight="true" outlineLevel="0" collapsed="false">
      <c r="A24" s="35" t="s">
        <v>36</v>
      </c>
      <c r="B24" s="46"/>
      <c r="C24" s="37"/>
      <c r="D24" s="38"/>
      <c r="E24" s="39"/>
      <c r="F24" s="40"/>
      <c r="G24" s="41"/>
      <c r="H24" s="40"/>
      <c r="I24" s="42"/>
      <c r="J24" s="47"/>
      <c r="K24" s="48"/>
      <c r="L24" s="45" t="n">
        <f aca="false">$J$24+$K$24</f>
        <v>0</v>
      </c>
      <c r="M24" s="33" t="str">
        <f aca="false">IF(I24-E24&lt;0,"False","OK")</f>
        <v>OK</v>
      </c>
      <c r="N24" s="34"/>
      <c r="O24" s="13"/>
      <c r="P24" s="13"/>
      <c r="Q24" s="13"/>
      <c r="R24" s="13"/>
      <c r="S24" s="13"/>
      <c r="T24" s="13"/>
      <c r="U24" s="14"/>
    </row>
    <row r="25" customFormat="false" ht="15" hidden="false" customHeight="true" outlineLevel="0" collapsed="false">
      <c r="A25" s="35" t="s">
        <v>37</v>
      </c>
      <c r="B25" s="46"/>
      <c r="C25" s="37"/>
      <c r="D25" s="38"/>
      <c r="E25" s="39"/>
      <c r="F25" s="40"/>
      <c r="G25" s="41"/>
      <c r="H25" s="40"/>
      <c r="I25" s="49"/>
      <c r="J25" s="47"/>
      <c r="K25" s="48"/>
      <c r="L25" s="45" t="n">
        <f aca="false">$J$25+$K$25</f>
        <v>0</v>
      </c>
      <c r="M25" s="33" t="str">
        <f aca="false">IF(I25-E25&lt;0,"False","OK")</f>
        <v>OK</v>
      </c>
      <c r="N25" s="34"/>
      <c r="O25" s="13"/>
      <c r="P25" s="13"/>
      <c r="Q25" s="13"/>
      <c r="R25" s="13"/>
      <c r="S25" s="13"/>
      <c r="T25" s="13"/>
      <c r="U25" s="14"/>
    </row>
    <row r="26" customFormat="false" ht="15" hidden="false" customHeight="true" outlineLevel="0" collapsed="false">
      <c r="A26" s="35" t="s">
        <v>38</v>
      </c>
      <c r="B26" s="46"/>
      <c r="C26" s="37"/>
      <c r="D26" s="38"/>
      <c r="E26" s="39"/>
      <c r="F26" s="40"/>
      <c r="G26" s="41"/>
      <c r="H26" s="40"/>
      <c r="I26" s="29"/>
      <c r="J26" s="47"/>
      <c r="K26" s="48"/>
      <c r="L26" s="45" t="n">
        <f aca="false">$J$26+$K$26</f>
        <v>0</v>
      </c>
      <c r="M26" s="33" t="str">
        <f aca="false">IF(I26-E26&lt;0,"False","OK")</f>
        <v>OK</v>
      </c>
      <c r="N26" s="34"/>
      <c r="O26" s="13"/>
      <c r="P26" s="13"/>
      <c r="Q26" s="13"/>
      <c r="R26" s="13"/>
      <c r="S26" s="13"/>
      <c r="T26" s="13"/>
      <c r="U26" s="14"/>
    </row>
    <row r="27" customFormat="false" ht="15" hidden="false" customHeight="true" outlineLevel="0" collapsed="false">
      <c r="A27" s="35" t="s">
        <v>39</v>
      </c>
      <c r="B27" s="46"/>
      <c r="C27" s="37"/>
      <c r="D27" s="38"/>
      <c r="E27" s="39"/>
      <c r="F27" s="40"/>
      <c r="G27" s="41"/>
      <c r="H27" s="40"/>
      <c r="I27" s="42"/>
      <c r="J27" s="47"/>
      <c r="K27" s="48"/>
      <c r="L27" s="45" t="n">
        <f aca="false">$J$27+$K$27</f>
        <v>0</v>
      </c>
      <c r="M27" s="33" t="str">
        <f aca="false">IF(I27-E27&lt;0,"False","OK")</f>
        <v>OK</v>
      </c>
      <c r="N27" s="34"/>
      <c r="O27" s="13"/>
      <c r="P27" s="13"/>
      <c r="Q27" s="13"/>
      <c r="R27" s="13"/>
      <c r="S27" s="13"/>
      <c r="T27" s="13"/>
      <c r="U27" s="14"/>
    </row>
    <row r="28" customFormat="false" ht="15" hidden="false" customHeight="true" outlineLevel="0" collapsed="false">
      <c r="A28" s="35" t="s">
        <v>40</v>
      </c>
      <c r="B28" s="46"/>
      <c r="C28" s="37"/>
      <c r="D28" s="38"/>
      <c r="E28" s="39"/>
      <c r="F28" s="40"/>
      <c r="G28" s="41"/>
      <c r="H28" s="40"/>
      <c r="I28" s="42"/>
      <c r="J28" s="47"/>
      <c r="K28" s="48"/>
      <c r="L28" s="45" t="n">
        <f aca="false">$J$28+$K$28</f>
        <v>0</v>
      </c>
      <c r="M28" s="33" t="str">
        <f aca="false">IF(I28-E28&lt;0,"False","OK")</f>
        <v>OK</v>
      </c>
      <c r="N28" s="34"/>
      <c r="O28" s="13"/>
      <c r="P28" s="13"/>
      <c r="Q28" s="13"/>
      <c r="R28" s="13"/>
      <c r="S28" s="13"/>
      <c r="T28" s="13"/>
      <c r="U28" s="14"/>
    </row>
    <row r="29" customFormat="false" ht="15" hidden="false" customHeight="true" outlineLevel="0" collapsed="false">
      <c r="A29" s="35" t="s">
        <v>41</v>
      </c>
      <c r="B29" s="46"/>
      <c r="C29" s="37"/>
      <c r="D29" s="38"/>
      <c r="E29" s="39"/>
      <c r="F29" s="40"/>
      <c r="G29" s="41"/>
      <c r="H29" s="40"/>
      <c r="I29" s="42"/>
      <c r="J29" s="47"/>
      <c r="K29" s="48"/>
      <c r="L29" s="45" t="n">
        <f aca="false">$J$29+$K$29</f>
        <v>0</v>
      </c>
      <c r="M29" s="33" t="str">
        <f aca="false">IF(I29-E29&lt;0,"False","OK")</f>
        <v>OK</v>
      </c>
      <c r="N29" s="34"/>
      <c r="O29" s="13"/>
      <c r="P29" s="13"/>
      <c r="Q29" s="13"/>
      <c r="R29" s="13"/>
      <c r="S29" s="13"/>
      <c r="T29" s="13"/>
      <c r="U29" s="14"/>
    </row>
    <row r="30" customFormat="false" ht="15" hidden="false" customHeight="true" outlineLevel="0" collapsed="false">
      <c r="A30" s="35" t="s">
        <v>42</v>
      </c>
      <c r="B30" s="46"/>
      <c r="C30" s="37"/>
      <c r="D30" s="38"/>
      <c r="E30" s="39"/>
      <c r="F30" s="40"/>
      <c r="G30" s="41"/>
      <c r="H30" s="40"/>
      <c r="I30" s="42"/>
      <c r="J30" s="47"/>
      <c r="K30" s="48"/>
      <c r="L30" s="45" t="n">
        <f aca="false">$J$30+$K$30</f>
        <v>0</v>
      </c>
      <c r="M30" s="33" t="str">
        <f aca="false">IF(I30-E30&lt;0,"False","OK")</f>
        <v>OK</v>
      </c>
      <c r="N30" s="34"/>
      <c r="O30" s="13"/>
      <c r="P30" s="13"/>
      <c r="Q30" s="13"/>
      <c r="R30" s="13"/>
      <c r="S30" s="13"/>
      <c r="T30" s="13"/>
      <c r="U30" s="14"/>
    </row>
    <row r="31" customFormat="false" ht="15" hidden="false" customHeight="true" outlineLevel="0" collapsed="false">
      <c r="A31" s="35" t="s">
        <v>43</v>
      </c>
      <c r="B31" s="46"/>
      <c r="C31" s="37"/>
      <c r="D31" s="38"/>
      <c r="E31" s="39"/>
      <c r="F31" s="40"/>
      <c r="G31" s="41"/>
      <c r="H31" s="40"/>
      <c r="I31" s="42"/>
      <c r="J31" s="47"/>
      <c r="K31" s="48"/>
      <c r="L31" s="45" t="n">
        <f aca="false">$J$31+$K$31</f>
        <v>0</v>
      </c>
      <c r="M31" s="33" t="str">
        <f aca="false">IF(I31-E31&lt;0,"False","OK")</f>
        <v>OK</v>
      </c>
      <c r="N31" s="34"/>
      <c r="O31" s="13"/>
      <c r="P31" s="13"/>
      <c r="Q31" s="13"/>
      <c r="R31" s="13"/>
      <c r="S31" s="13"/>
      <c r="T31" s="13"/>
      <c r="U31" s="14"/>
    </row>
    <row r="32" customFormat="false" ht="15" hidden="false" customHeight="true" outlineLevel="0" collapsed="false">
      <c r="A32" s="35" t="s">
        <v>44</v>
      </c>
      <c r="B32" s="46"/>
      <c r="C32" s="37"/>
      <c r="D32" s="38"/>
      <c r="E32" s="39"/>
      <c r="F32" s="40"/>
      <c r="G32" s="41"/>
      <c r="H32" s="40"/>
      <c r="I32" s="42"/>
      <c r="J32" s="47"/>
      <c r="K32" s="48"/>
      <c r="L32" s="45" t="n">
        <f aca="false">$J$32+$K$32</f>
        <v>0</v>
      </c>
      <c r="M32" s="33" t="str">
        <f aca="false">IF(I32-E32&lt;0,"False","OK")</f>
        <v>OK</v>
      </c>
      <c r="N32" s="34"/>
      <c r="O32" s="13"/>
      <c r="P32" s="13"/>
      <c r="Q32" s="13"/>
      <c r="R32" s="13"/>
      <c r="S32" s="13"/>
      <c r="T32" s="13"/>
      <c r="U32" s="14"/>
    </row>
    <row r="33" customFormat="false" ht="15" hidden="false" customHeight="true" outlineLevel="0" collapsed="false">
      <c r="A33" s="35" t="s">
        <v>45</v>
      </c>
      <c r="B33" s="46"/>
      <c r="C33" s="37"/>
      <c r="D33" s="38"/>
      <c r="E33" s="39"/>
      <c r="F33" s="40"/>
      <c r="G33" s="41"/>
      <c r="H33" s="40"/>
      <c r="I33" s="42"/>
      <c r="J33" s="47"/>
      <c r="K33" s="48"/>
      <c r="L33" s="45" t="n">
        <f aca="false">$J$33+$K$33</f>
        <v>0</v>
      </c>
      <c r="M33" s="33" t="str">
        <f aca="false">IF(I33-E33&lt;0,"False","OK")</f>
        <v>OK</v>
      </c>
      <c r="N33" s="34"/>
      <c r="O33" s="13"/>
      <c r="P33" s="13"/>
      <c r="Q33" s="13"/>
      <c r="R33" s="13"/>
      <c r="S33" s="13"/>
      <c r="T33" s="13"/>
      <c r="U33" s="14"/>
    </row>
    <row r="34" customFormat="false" ht="15" hidden="false" customHeight="true" outlineLevel="0" collapsed="false">
      <c r="A34" s="35" t="s">
        <v>46</v>
      </c>
      <c r="B34" s="46"/>
      <c r="C34" s="37"/>
      <c r="D34" s="38"/>
      <c r="E34" s="39"/>
      <c r="F34" s="40"/>
      <c r="G34" s="41"/>
      <c r="H34" s="40"/>
      <c r="I34" s="42"/>
      <c r="J34" s="47"/>
      <c r="K34" s="48"/>
      <c r="L34" s="45" t="n">
        <f aca="false">$J$34+$K$34</f>
        <v>0</v>
      </c>
      <c r="M34" s="33" t="str">
        <f aca="false">IF(I34-E34&lt;0,"False","OK")</f>
        <v>OK</v>
      </c>
      <c r="N34" s="34"/>
      <c r="O34" s="13"/>
      <c r="P34" s="13"/>
      <c r="Q34" s="13"/>
      <c r="R34" s="13"/>
      <c r="S34" s="13"/>
      <c r="T34" s="13"/>
      <c r="U34" s="14"/>
    </row>
    <row r="35" customFormat="false" ht="15" hidden="false" customHeight="true" outlineLevel="0" collapsed="false">
      <c r="A35" s="35" t="s">
        <v>47</v>
      </c>
      <c r="B35" s="46"/>
      <c r="C35" s="37"/>
      <c r="D35" s="38"/>
      <c r="E35" s="39"/>
      <c r="F35" s="40"/>
      <c r="G35" s="41"/>
      <c r="H35" s="40"/>
      <c r="I35" s="42"/>
      <c r="J35" s="47"/>
      <c r="K35" s="48"/>
      <c r="L35" s="45" t="n">
        <f aca="false">$J$35+$K$35</f>
        <v>0</v>
      </c>
      <c r="M35" s="33" t="str">
        <f aca="false">IF(I35-E35&lt;0,"False","OK")</f>
        <v>OK</v>
      </c>
      <c r="N35" s="34"/>
      <c r="O35" s="13"/>
      <c r="P35" s="13"/>
      <c r="Q35" s="13"/>
      <c r="R35" s="13"/>
      <c r="S35" s="13"/>
      <c r="T35" s="13"/>
      <c r="U35" s="14"/>
    </row>
    <row r="36" customFormat="false" ht="15" hidden="false" customHeight="true" outlineLevel="0" collapsed="false">
      <c r="A36" s="35" t="s">
        <v>48</v>
      </c>
      <c r="B36" s="46"/>
      <c r="C36" s="37"/>
      <c r="D36" s="38"/>
      <c r="E36" s="39"/>
      <c r="F36" s="40"/>
      <c r="G36" s="41"/>
      <c r="H36" s="40"/>
      <c r="I36" s="42"/>
      <c r="J36" s="47"/>
      <c r="K36" s="48"/>
      <c r="L36" s="45" t="n">
        <f aca="false">$J$36+$K$36</f>
        <v>0</v>
      </c>
      <c r="M36" s="33" t="str">
        <f aca="false">IF(I36-E36&lt;0,"False","OK")</f>
        <v>OK</v>
      </c>
      <c r="N36" s="34"/>
      <c r="O36" s="13"/>
      <c r="P36" s="13"/>
      <c r="Q36" s="13"/>
      <c r="R36" s="13"/>
      <c r="S36" s="13"/>
      <c r="T36" s="13"/>
      <c r="U36" s="14"/>
    </row>
    <row r="37" customFormat="false" ht="15" hidden="false" customHeight="true" outlineLevel="0" collapsed="false">
      <c r="A37" s="35" t="s">
        <v>49</v>
      </c>
      <c r="B37" s="46"/>
      <c r="C37" s="37"/>
      <c r="D37" s="38"/>
      <c r="E37" s="39"/>
      <c r="F37" s="40"/>
      <c r="G37" s="41"/>
      <c r="H37" s="40"/>
      <c r="I37" s="42"/>
      <c r="J37" s="47"/>
      <c r="K37" s="48"/>
      <c r="L37" s="45" t="n">
        <f aca="false">$J$37+$K$37</f>
        <v>0</v>
      </c>
      <c r="M37" s="33" t="str">
        <f aca="false">IF(I37-E37&lt;0,"False","OK")</f>
        <v>OK</v>
      </c>
      <c r="N37" s="34"/>
      <c r="O37" s="13"/>
      <c r="P37" s="13"/>
      <c r="Q37" s="13"/>
      <c r="R37" s="13"/>
      <c r="S37" s="13"/>
      <c r="T37" s="13"/>
      <c r="U37" s="14"/>
    </row>
    <row r="38" customFormat="false" ht="15" hidden="false" customHeight="true" outlineLevel="0" collapsed="false">
      <c r="A38" s="35" t="s">
        <v>50</v>
      </c>
      <c r="B38" s="46"/>
      <c r="C38" s="37"/>
      <c r="D38" s="38"/>
      <c r="E38" s="39"/>
      <c r="F38" s="40"/>
      <c r="G38" s="41"/>
      <c r="H38" s="40"/>
      <c r="I38" s="42"/>
      <c r="J38" s="47"/>
      <c r="K38" s="48"/>
      <c r="L38" s="45" t="n">
        <f aca="false">$J$38+$K$38</f>
        <v>0</v>
      </c>
      <c r="M38" s="33" t="str">
        <f aca="false">IF(I38-E38&lt;0,"False","OK")</f>
        <v>OK</v>
      </c>
      <c r="N38" s="34"/>
      <c r="O38" s="13"/>
      <c r="P38" s="13"/>
      <c r="Q38" s="13"/>
      <c r="R38" s="13"/>
      <c r="S38" s="13"/>
      <c r="T38" s="13"/>
      <c r="U38" s="14"/>
    </row>
    <row r="39" customFormat="false" ht="15" hidden="false" customHeight="true" outlineLevel="0" collapsed="false">
      <c r="A39" s="35" t="s">
        <v>51</v>
      </c>
      <c r="B39" s="46"/>
      <c r="C39" s="37"/>
      <c r="D39" s="38"/>
      <c r="E39" s="39"/>
      <c r="F39" s="40"/>
      <c r="G39" s="41"/>
      <c r="H39" s="40"/>
      <c r="I39" s="42"/>
      <c r="J39" s="47"/>
      <c r="K39" s="48"/>
      <c r="L39" s="45" t="n">
        <f aca="false">$J$39+$K$39</f>
        <v>0</v>
      </c>
      <c r="M39" s="33" t="str">
        <f aca="false">IF(I39-E39&lt;0,"False","OK")</f>
        <v>OK</v>
      </c>
      <c r="N39" s="34"/>
      <c r="O39" s="13"/>
      <c r="P39" s="13"/>
      <c r="Q39" s="13"/>
      <c r="R39" s="13"/>
      <c r="S39" s="13"/>
      <c r="T39" s="13"/>
      <c r="U39" s="14"/>
    </row>
    <row r="40" customFormat="false" ht="15" hidden="false" customHeight="true" outlineLevel="0" collapsed="false">
      <c r="A40" s="35" t="s">
        <v>52</v>
      </c>
      <c r="B40" s="46"/>
      <c r="C40" s="37"/>
      <c r="D40" s="38"/>
      <c r="E40" s="39"/>
      <c r="F40" s="40"/>
      <c r="G40" s="41"/>
      <c r="H40" s="40"/>
      <c r="I40" s="42"/>
      <c r="J40" s="47"/>
      <c r="K40" s="48"/>
      <c r="L40" s="45" t="n">
        <f aca="false">$J$40+$K$40</f>
        <v>0</v>
      </c>
      <c r="M40" s="33" t="str">
        <f aca="false">IF(I40-E40&lt;0,"False","OK")</f>
        <v>OK</v>
      </c>
      <c r="N40" s="34"/>
      <c r="O40" s="13"/>
      <c r="P40" s="13"/>
      <c r="Q40" s="13"/>
      <c r="R40" s="13"/>
      <c r="S40" s="13"/>
      <c r="T40" s="13"/>
      <c r="U40" s="14"/>
    </row>
    <row r="41" customFormat="false" ht="15" hidden="false" customHeight="true" outlineLevel="0" collapsed="false">
      <c r="A41" s="35" t="s">
        <v>53</v>
      </c>
      <c r="B41" s="46"/>
      <c r="C41" s="37"/>
      <c r="D41" s="38"/>
      <c r="E41" s="39"/>
      <c r="F41" s="40"/>
      <c r="G41" s="41"/>
      <c r="H41" s="40"/>
      <c r="I41" s="49"/>
      <c r="J41" s="47"/>
      <c r="K41" s="48"/>
      <c r="L41" s="45" t="n">
        <f aca="false">$J$41+$K$41</f>
        <v>0</v>
      </c>
      <c r="M41" s="33" t="str">
        <f aca="false">IF(I41-E41&lt;0,"False","OK")</f>
        <v>OK</v>
      </c>
      <c r="N41" s="34"/>
      <c r="O41" s="13"/>
      <c r="P41" s="13"/>
      <c r="Q41" s="13"/>
      <c r="R41" s="13"/>
      <c r="S41" s="13"/>
      <c r="T41" s="13"/>
      <c r="U41" s="14"/>
    </row>
    <row r="42" customFormat="false" ht="15" hidden="false" customHeight="true" outlineLevel="0" collapsed="false">
      <c r="A42" s="35" t="s">
        <v>54</v>
      </c>
      <c r="B42" s="46"/>
      <c r="C42" s="37"/>
      <c r="D42" s="38"/>
      <c r="E42" s="39"/>
      <c r="F42" s="40"/>
      <c r="G42" s="41"/>
      <c r="H42" s="40"/>
      <c r="I42" s="29"/>
      <c r="J42" s="47"/>
      <c r="K42" s="48"/>
      <c r="L42" s="45" t="n">
        <f aca="false">$J$42+$K$42</f>
        <v>0</v>
      </c>
      <c r="M42" s="33" t="str">
        <f aca="false">IF(I42-E42&lt;0,"False","OK")</f>
        <v>OK</v>
      </c>
      <c r="N42" s="34"/>
      <c r="O42" s="13"/>
      <c r="P42" s="13"/>
      <c r="Q42" s="13"/>
      <c r="R42" s="13"/>
      <c r="S42" s="13"/>
      <c r="T42" s="13"/>
      <c r="U42" s="14"/>
    </row>
    <row r="43" customFormat="false" ht="15" hidden="false" customHeight="true" outlineLevel="0" collapsed="false">
      <c r="A43" s="35" t="s">
        <v>55</v>
      </c>
      <c r="B43" s="46"/>
      <c r="C43" s="37"/>
      <c r="D43" s="38"/>
      <c r="E43" s="39"/>
      <c r="F43" s="40"/>
      <c r="G43" s="41"/>
      <c r="H43" s="40"/>
      <c r="I43" s="42"/>
      <c r="J43" s="47"/>
      <c r="K43" s="48"/>
      <c r="L43" s="45" t="n">
        <f aca="false">$J$43+$K$43</f>
        <v>0</v>
      </c>
      <c r="M43" s="33" t="str">
        <f aca="false">IF(I43-E43&lt;0,"False","OK")</f>
        <v>OK</v>
      </c>
      <c r="N43" s="34"/>
      <c r="O43" s="13"/>
      <c r="P43" s="13"/>
      <c r="Q43" s="13"/>
      <c r="R43" s="13"/>
      <c r="S43" s="13"/>
      <c r="T43" s="13"/>
      <c r="U43" s="14"/>
    </row>
    <row r="44" customFormat="false" ht="15" hidden="false" customHeight="true" outlineLevel="0" collapsed="false">
      <c r="A44" s="35" t="s">
        <v>56</v>
      </c>
      <c r="B44" s="46"/>
      <c r="C44" s="37"/>
      <c r="D44" s="38"/>
      <c r="E44" s="39"/>
      <c r="F44" s="40"/>
      <c r="G44" s="41"/>
      <c r="H44" s="40"/>
      <c r="I44" s="42"/>
      <c r="J44" s="47"/>
      <c r="K44" s="48"/>
      <c r="L44" s="45" t="n">
        <f aca="false">$J$44+$K$44</f>
        <v>0</v>
      </c>
      <c r="M44" s="33" t="str">
        <f aca="false">IF(I44-E44&lt;0,"False","OK")</f>
        <v>OK</v>
      </c>
      <c r="N44" s="34"/>
      <c r="O44" s="13"/>
      <c r="P44" s="13"/>
      <c r="Q44" s="13"/>
      <c r="R44" s="13"/>
      <c r="S44" s="13"/>
      <c r="T44" s="13"/>
      <c r="U44" s="14"/>
    </row>
    <row r="45" customFormat="false" ht="15" hidden="false" customHeight="true" outlineLevel="0" collapsed="false">
      <c r="A45" s="35" t="s">
        <v>57</v>
      </c>
      <c r="B45" s="46"/>
      <c r="C45" s="37"/>
      <c r="D45" s="38"/>
      <c r="E45" s="39"/>
      <c r="F45" s="40"/>
      <c r="G45" s="41"/>
      <c r="H45" s="40"/>
      <c r="I45" s="42"/>
      <c r="J45" s="47"/>
      <c r="K45" s="48"/>
      <c r="L45" s="45" t="n">
        <f aca="false">$J$45+$K$45</f>
        <v>0</v>
      </c>
      <c r="M45" s="33" t="str">
        <f aca="false">IF(I45-E45&lt;0,"False","OK")</f>
        <v>OK</v>
      </c>
      <c r="N45" s="34"/>
      <c r="O45" s="13"/>
      <c r="P45" s="13"/>
      <c r="Q45" s="13"/>
      <c r="R45" s="13"/>
      <c r="S45" s="13"/>
      <c r="T45" s="13"/>
      <c r="U45" s="14"/>
    </row>
    <row r="46" customFormat="false" ht="15" hidden="false" customHeight="true" outlineLevel="0" collapsed="false">
      <c r="A46" s="35" t="s">
        <v>58</v>
      </c>
      <c r="B46" s="46"/>
      <c r="C46" s="37"/>
      <c r="D46" s="38"/>
      <c r="E46" s="39"/>
      <c r="F46" s="40"/>
      <c r="G46" s="41"/>
      <c r="H46" s="40"/>
      <c r="I46" s="42"/>
      <c r="J46" s="47"/>
      <c r="K46" s="48"/>
      <c r="L46" s="45" t="n">
        <f aca="false">$J$46+$K$46</f>
        <v>0</v>
      </c>
      <c r="M46" s="33" t="str">
        <f aca="false">IF(I46-E46&lt;0,"False","OK")</f>
        <v>OK</v>
      </c>
      <c r="N46" s="34"/>
      <c r="O46" s="13"/>
      <c r="P46" s="13"/>
      <c r="Q46" s="13"/>
      <c r="R46" s="13"/>
      <c r="S46" s="13"/>
      <c r="T46" s="13"/>
      <c r="U46" s="14"/>
    </row>
    <row r="47" customFormat="false" ht="15" hidden="false" customHeight="true" outlineLevel="0" collapsed="false">
      <c r="A47" s="35" t="s">
        <v>59</v>
      </c>
      <c r="B47" s="46"/>
      <c r="C47" s="37"/>
      <c r="D47" s="38"/>
      <c r="E47" s="39"/>
      <c r="F47" s="40"/>
      <c r="G47" s="41"/>
      <c r="H47" s="40"/>
      <c r="I47" s="42"/>
      <c r="J47" s="47"/>
      <c r="K47" s="48"/>
      <c r="L47" s="45" t="n">
        <f aca="false">$J$47+$K$47</f>
        <v>0</v>
      </c>
      <c r="M47" s="33" t="str">
        <f aca="false">IF(I47-E47&lt;0,"False","OK")</f>
        <v>OK</v>
      </c>
      <c r="N47" s="34"/>
      <c r="O47" s="13"/>
      <c r="P47" s="13"/>
      <c r="Q47" s="13"/>
      <c r="R47" s="13"/>
      <c r="S47" s="13"/>
      <c r="T47" s="13"/>
      <c r="U47" s="14"/>
    </row>
    <row r="48" customFormat="false" ht="15" hidden="false" customHeight="true" outlineLevel="0" collapsed="false">
      <c r="A48" s="35" t="s">
        <v>60</v>
      </c>
      <c r="B48" s="46"/>
      <c r="C48" s="37"/>
      <c r="D48" s="38"/>
      <c r="E48" s="39"/>
      <c r="F48" s="40"/>
      <c r="G48" s="41"/>
      <c r="H48" s="40"/>
      <c r="I48" s="42"/>
      <c r="J48" s="47"/>
      <c r="K48" s="48"/>
      <c r="L48" s="45" t="n">
        <f aca="false">$J$48+$K$48</f>
        <v>0</v>
      </c>
      <c r="M48" s="33" t="str">
        <f aca="false">IF(I48-E48&lt;0,"False","OK")</f>
        <v>OK</v>
      </c>
      <c r="N48" s="34"/>
      <c r="O48" s="13"/>
      <c r="P48" s="13"/>
      <c r="Q48" s="13"/>
      <c r="R48" s="13"/>
      <c r="S48" s="13"/>
      <c r="T48" s="13"/>
      <c r="U48" s="14"/>
    </row>
    <row r="49" customFormat="false" ht="15" hidden="false" customHeight="true" outlineLevel="0" collapsed="false">
      <c r="A49" s="35" t="s">
        <v>61</v>
      </c>
      <c r="B49" s="46"/>
      <c r="C49" s="37"/>
      <c r="D49" s="38"/>
      <c r="E49" s="39"/>
      <c r="F49" s="40"/>
      <c r="G49" s="41"/>
      <c r="H49" s="40"/>
      <c r="I49" s="42"/>
      <c r="J49" s="47"/>
      <c r="K49" s="48"/>
      <c r="L49" s="45" t="n">
        <f aca="false">$J$49+$K$49</f>
        <v>0</v>
      </c>
      <c r="M49" s="33" t="str">
        <f aca="false">IF(I49-E49&lt;0,"False","OK")</f>
        <v>OK</v>
      </c>
      <c r="N49" s="34"/>
      <c r="O49" s="13"/>
      <c r="P49" s="13"/>
      <c r="Q49" s="13"/>
      <c r="R49" s="13"/>
      <c r="S49" s="13"/>
      <c r="T49" s="13"/>
      <c r="U49" s="14"/>
    </row>
    <row r="50" customFormat="false" ht="15" hidden="false" customHeight="true" outlineLevel="0" collapsed="false">
      <c r="A50" s="35" t="s">
        <v>62</v>
      </c>
      <c r="B50" s="46"/>
      <c r="C50" s="37"/>
      <c r="D50" s="38"/>
      <c r="E50" s="39"/>
      <c r="F50" s="40"/>
      <c r="G50" s="41"/>
      <c r="H50" s="40"/>
      <c r="I50" s="42"/>
      <c r="J50" s="47"/>
      <c r="K50" s="48"/>
      <c r="L50" s="45" t="n">
        <f aca="false">$J$50+$K$50</f>
        <v>0</v>
      </c>
      <c r="M50" s="33" t="str">
        <f aca="false">IF(I50-E50&lt;0,"False","OK")</f>
        <v>OK</v>
      </c>
      <c r="N50" s="34"/>
      <c r="O50" s="13"/>
      <c r="P50" s="13"/>
      <c r="Q50" s="13"/>
      <c r="R50" s="13"/>
      <c r="S50" s="13"/>
      <c r="T50" s="13"/>
      <c r="U50" s="14"/>
    </row>
    <row r="51" customFormat="false" ht="15" hidden="false" customHeight="true" outlineLevel="0" collapsed="false">
      <c r="A51" s="35" t="s">
        <v>63</v>
      </c>
      <c r="B51" s="46"/>
      <c r="C51" s="37"/>
      <c r="D51" s="38"/>
      <c r="E51" s="39"/>
      <c r="F51" s="40"/>
      <c r="G51" s="41"/>
      <c r="H51" s="40"/>
      <c r="I51" s="42"/>
      <c r="J51" s="47"/>
      <c r="K51" s="48"/>
      <c r="L51" s="45" t="n">
        <f aca="false">$J$40+$K$40</f>
        <v>0</v>
      </c>
      <c r="M51" s="33" t="str">
        <f aca="false">IF(I51-E51&lt;0,"False","OK")</f>
        <v>OK</v>
      </c>
      <c r="N51" s="34"/>
      <c r="O51" s="13"/>
      <c r="P51" s="13"/>
      <c r="Q51" s="13"/>
      <c r="R51" s="13"/>
      <c r="S51" s="13"/>
      <c r="T51" s="13"/>
      <c r="U51" s="14"/>
    </row>
    <row r="52" customFormat="false" ht="15" hidden="false" customHeight="true" outlineLevel="0" collapsed="false">
      <c r="A52" s="35" t="s">
        <v>64</v>
      </c>
      <c r="B52" s="46"/>
      <c r="C52" s="37"/>
      <c r="D52" s="38"/>
      <c r="E52" s="39"/>
      <c r="F52" s="40"/>
      <c r="G52" s="41"/>
      <c r="H52" s="40"/>
      <c r="I52" s="42"/>
      <c r="J52" s="47"/>
      <c r="K52" s="48"/>
      <c r="L52" s="45" t="n">
        <f aca="false">$J$52+$K$52</f>
        <v>0</v>
      </c>
      <c r="M52" s="33" t="str">
        <f aca="false">IF(I52-E52&lt;0,"False","OK")</f>
        <v>OK</v>
      </c>
      <c r="N52" s="34"/>
      <c r="O52" s="13"/>
      <c r="P52" s="13"/>
      <c r="Q52" s="13"/>
      <c r="R52" s="13"/>
      <c r="S52" s="13"/>
      <c r="T52" s="13"/>
      <c r="U52" s="14"/>
    </row>
    <row r="53" customFormat="false" ht="15" hidden="false" customHeight="true" outlineLevel="0" collapsed="false">
      <c r="A53" s="35" t="s">
        <v>65</v>
      </c>
      <c r="B53" s="46"/>
      <c r="C53" s="37"/>
      <c r="D53" s="38"/>
      <c r="E53" s="39"/>
      <c r="F53" s="40"/>
      <c r="G53" s="41"/>
      <c r="H53" s="40"/>
      <c r="I53" s="42"/>
      <c r="J53" s="47"/>
      <c r="K53" s="48"/>
      <c r="L53" s="45" t="n">
        <f aca="false">$J$53+$K$53</f>
        <v>0</v>
      </c>
      <c r="M53" s="33" t="str">
        <f aca="false">IF(I53-E53&lt;0,"False","OK")</f>
        <v>OK</v>
      </c>
      <c r="N53" s="34"/>
      <c r="O53" s="13"/>
      <c r="P53" s="13"/>
      <c r="Q53" s="13"/>
      <c r="R53" s="13"/>
      <c r="S53" s="13"/>
      <c r="T53" s="13"/>
      <c r="U53" s="14"/>
    </row>
    <row r="54" customFormat="false" ht="15" hidden="false" customHeight="true" outlineLevel="0" collapsed="false">
      <c r="A54" s="35" t="s">
        <v>66</v>
      </c>
      <c r="B54" s="46"/>
      <c r="C54" s="37"/>
      <c r="D54" s="38"/>
      <c r="E54" s="39"/>
      <c r="F54" s="40"/>
      <c r="G54" s="41"/>
      <c r="H54" s="40"/>
      <c r="I54" s="42"/>
      <c r="J54" s="47"/>
      <c r="K54" s="48"/>
      <c r="L54" s="45" t="n">
        <f aca="false">$J$54+$K$54</f>
        <v>0</v>
      </c>
      <c r="M54" s="33" t="str">
        <f aca="false">IF(I54-E54&lt;0,"False","OK")</f>
        <v>OK</v>
      </c>
      <c r="N54" s="34"/>
      <c r="O54" s="13"/>
      <c r="P54" s="13"/>
      <c r="Q54" s="13"/>
      <c r="R54" s="13"/>
      <c r="S54" s="13"/>
      <c r="T54" s="13"/>
      <c r="U54" s="14"/>
    </row>
    <row r="55" customFormat="false" ht="15" hidden="false" customHeight="true" outlineLevel="0" collapsed="false">
      <c r="A55" s="35" t="s">
        <v>67</v>
      </c>
      <c r="B55" s="46"/>
      <c r="C55" s="37"/>
      <c r="D55" s="38"/>
      <c r="E55" s="39"/>
      <c r="F55" s="40"/>
      <c r="G55" s="41"/>
      <c r="H55" s="40"/>
      <c r="I55" s="42"/>
      <c r="J55" s="47"/>
      <c r="K55" s="48"/>
      <c r="L55" s="45" t="n">
        <f aca="false">$J$55+$K$55</f>
        <v>0</v>
      </c>
      <c r="M55" s="33" t="str">
        <f aca="false">IF(I55-E55&lt;0,"False","OK")</f>
        <v>OK</v>
      </c>
      <c r="N55" s="34"/>
      <c r="O55" s="13"/>
      <c r="P55" s="13"/>
      <c r="Q55" s="13"/>
      <c r="R55" s="13"/>
      <c r="S55" s="13"/>
      <c r="T55" s="13"/>
      <c r="U55" s="14"/>
    </row>
    <row r="56" customFormat="false" ht="15" hidden="false" customHeight="true" outlineLevel="0" collapsed="false">
      <c r="A56" s="50" t="s">
        <v>68</v>
      </c>
      <c r="B56" s="51"/>
      <c r="C56" s="37"/>
      <c r="D56" s="38"/>
      <c r="E56" s="52"/>
      <c r="F56" s="40"/>
      <c r="G56" s="53"/>
      <c r="H56" s="40"/>
      <c r="I56" s="49"/>
      <c r="J56" s="54"/>
      <c r="K56" s="55"/>
      <c r="L56" s="45" t="n">
        <f aca="false">$J$56+$K$56</f>
        <v>0</v>
      </c>
      <c r="M56" s="33" t="str">
        <f aca="false">IF(I56-E56&lt;0,"False","OK")</f>
        <v>OK</v>
      </c>
      <c r="N56" s="34"/>
      <c r="O56" s="13"/>
      <c r="P56" s="13"/>
      <c r="Q56" s="13"/>
      <c r="R56" s="13"/>
      <c r="S56" s="13"/>
      <c r="T56" s="13"/>
      <c r="U56" s="14"/>
    </row>
    <row r="57" customFormat="false" ht="15" hidden="false" customHeight="true" outlineLevel="0" collapsed="false">
      <c r="A57" s="56" t="s">
        <v>17</v>
      </c>
      <c r="B57" s="57"/>
      <c r="C57" s="58"/>
      <c r="D57" s="58"/>
      <c r="E57" s="58"/>
      <c r="F57" s="59"/>
      <c r="G57" s="60"/>
      <c r="H57" s="60"/>
      <c r="I57" s="61"/>
      <c r="J57" s="62" t="n">
        <f aca="false">SUM(J7:J56)</f>
        <v>0</v>
      </c>
      <c r="K57" s="62" t="n">
        <f aca="false">SUM(K7:K56)</f>
        <v>0</v>
      </c>
      <c r="L57" s="63" t="n">
        <f aca="false">$J$57+$K$57</f>
        <v>0</v>
      </c>
      <c r="M57" s="33" t="str">
        <f aca="false">IF(I57-E57&lt;0,"False","OK")</f>
        <v>OK</v>
      </c>
      <c r="N57" s="34"/>
      <c r="O57" s="13"/>
      <c r="P57" s="13"/>
      <c r="Q57" s="13"/>
      <c r="R57" s="13"/>
      <c r="S57" s="13"/>
      <c r="T57" s="13"/>
      <c r="U57" s="14"/>
    </row>
    <row r="58" customFormat="false" ht="15" hidden="false" customHeight="true" outlineLevel="0" collapsed="false">
      <c r="A58" s="64" t="s">
        <v>69</v>
      </c>
      <c r="B58" s="64"/>
      <c r="C58" s="64"/>
      <c r="D58" s="64"/>
      <c r="E58" s="64"/>
      <c r="F58" s="65"/>
      <c r="G58" s="65"/>
      <c r="H58" s="65"/>
      <c r="I58" s="66"/>
      <c r="J58" s="66"/>
      <c r="K58" s="66"/>
      <c r="L58" s="66"/>
      <c r="M58" s="66"/>
      <c r="N58" s="34"/>
      <c r="O58" s="66"/>
      <c r="P58" s="66"/>
      <c r="Q58" s="66"/>
      <c r="R58" s="66"/>
      <c r="S58" s="67"/>
      <c r="T58" s="13"/>
      <c r="U58" s="14"/>
      <c r="V58" s="14"/>
      <c r="W58" s="14"/>
      <c r="X58" s="14"/>
      <c r="Y58" s="14"/>
      <c r="Z58" s="14"/>
      <c r="AA58" s="14"/>
      <c r="AB58" s="68"/>
      <c r="AC58" s="68"/>
      <c r="AD58" s="68"/>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row>
    <row r="59" customFormat="false" ht="15" hidden="false" customHeight="true" outlineLevel="0" collapsed="false">
      <c r="A59" s="64"/>
      <c r="B59" s="64"/>
      <c r="C59" s="64"/>
      <c r="D59" s="64"/>
      <c r="E59" s="64"/>
      <c r="F59" s="65"/>
      <c r="G59" s="65"/>
      <c r="H59" s="65"/>
      <c r="I59" s="66"/>
      <c r="J59" s="66"/>
      <c r="K59" s="66"/>
      <c r="L59" s="66"/>
      <c r="M59" s="66"/>
      <c r="N59" s="34"/>
      <c r="O59" s="66"/>
      <c r="P59" s="66"/>
      <c r="Q59" s="66"/>
      <c r="R59" s="66"/>
      <c r="S59" s="67"/>
      <c r="T59" s="13"/>
      <c r="U59" s="14"/>
      <c r="V59" s="14"/>
      <c r="W59" s="14"/>
      <c r="X59" s="14"/>
      <c r="Y59" s="14"/>
      <c r="Z59" s="14"/>
      <c r="AA59" s="14"/>
      <c r="AB59" s="68"/>
      <c r="AC59" s="68"/>
      <c r="AD59" s="68"/>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row>
    <row r="60" customFormat="false" ht="15" hidden="false" customHeight="true" outlineLevel="0" collapsed="false">
      <c r="A60" s="64"/>
      <c r="B60" s="64"/>
      <c r="C60" s="64"/>
      <c r="D60" s="64"/>
      <c r="E60" s="64"/>
      <c r="F60" s="65"/>
      <c r="G60" s="65"/>
      <c r="H60" s="65"/>
      <c r="I60" s="66"/>
      <c r="J60" s="66"/>
      <c r="K60" s="66"/>
      <c r="L60" s="66"/>
      <c r="M60" s="66"/>
      <c r="N60" s="34"/>
      <c r="O60" s="66"/>
      <c r="P60" s="66"/>
      <c r="Q60" s="66"/>
      <c r="R60" s="66"/>
      <c r="S60" s="67"/>
      <c r="T60" s="13"/>
      <c r="U60" s="14"/>
      <c r="V60" s="14"/>
      <c r="W60" s="14"/>
      <c r="X60" s="14"/>
      <c r="Y60" s="14"/>
      <c r="Z60" s="14"/>
      <c r="AA60" s="14"/>
      <c r="AB60" s="68"/>
      <c r="AC60" s="68"/>
      <c r="AD60" s="68"/>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row>
    <row r="61" customFormat="false" ht="15" hidden="false" customHeight="true" outlineLevel="0" collapsed="false">
      <c r="A61" s="69" t="s">
        <v>70</v>
      </c>
      <c r="B61" s="69"/>
      <c r="C61" s="69"/>
      <c r="D61" s="70"/>
      <c r="E61" s="70"/>
      <c r="F61" s="65"/>
      <c r="G61" s="65"/>
      <c r="H61" s="65"/>
      <c r="I61" s="66"/>
      <c r="J61" s="66"/>
      <c r="K61" s="66"/>
      <c r="L61" s="66"/>
      <c r="M61" s="66"/>
      <c r="N61" s="34"/>
      <c r="O61" s="66"/>
      <c r="P61" s="66"/>
      <c r="Q61" s="66"/>
      <c r="R61" s="66"/>
      <c r="S61" s="67"/>
      <c r="T61" s="13"/>
      <c r="U61" s="14"/>
      <c r="V61" s="14"/>
      <c r="W61" s="14"/>
      <c r="X61" s="14"/>
      <c r="Y61" s="14"/>
      <c r="Z61" s="14"/>
      <c r="AA61" s="14"/>
      <c r="AB61" s="68"/>
      <c r="AC61" s="68"/>
      <c r="AD61" s="68"/>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row>
    <row r="62" customFormat="false" ht="15" hidden="false" customHeight="true" outlineLevel="0" collapsed="false">
      <c r="A62" s="71" t="s">
        <v>71</v>
      </c>
      <c r="B62" s="72"/>
      <c r="C62" s="72"/>
      <c r="D62" s="72"/>
      <c r="E62" s="72"/>
      <c r="F62" s="65"/>
      <c r="G62" s="65"/>
      <c r="H62" s="65"/>
      <c r="I62" s="66"/>
      <c r="J62" s="66"/>
      <c r="K62" s="66"/>
      <c r="L62" s="66"/>
      <c r="M62" s="66"/>
      <c r="N62" s="34"/>
      <c r="O62" s="66"/>
      <c r="P62" s="66"/>
      <c r="Q62" s="66"/>
      <c r="R62" s="66"/>
      <c r="S62" s="67"/>
      <c r="T62" s="13"/>
      <c r="U62" s="14"/>
      <c r="V62" s="14"/>
      <c r="W62" s="14"/>
      <c r="X62" s="14"/>
      <c r="Y62" s="14"/>
      <c r="Z62" s="14"/>
      <c r="AA62" s="14"/>
      <c r="AB62" s="68"/>
      <c r="AC62" s="68"/>
      <c r="AD62" s="68"/>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row>
    <row r="63" customFormat="false" ht="15" hidden="false" customHeight="true" outlineLevel="0" collapsed="false">
      <c r="A63" s="73" t="s">
        <v>72</v>
      </c>
      <c r="B63" s="72"/>
      <c r="C63" s="72"/>
      <c r="D63" s="72"/>
      <c r="E63" s="72"/>
      <c r="F63" s="65"/>
      <c r="G63" s="65"/>
      <c r="H63" s="65"/>
      <c r="I63" s="66"/>
      <c r="J63" s="66"/>
      <c r="K63" s="66"/>
      <c r="L63" s="66"/>
      <c r="M63" s="66"/>
      <c r="N63" s="34"/>
      <c r="O63" s="66"/>
      <c r="P63" s="66"/>
      <c r="Q63" s="66"/>
      <c r="R63" s="66"/>
      <c r="S63" s="67"/>
      <c r="T63" s="13"/>
      <c r="U63" s="14"/>
      <c r="V63" s="14"/>
      <c r="W63" s="14"/>
      <c r="X63" s="14"/>
      <c r="Y63" s="14"/>
      <c r="Z63" s="14"/>
      <c r="AA63" s="14"/>
      <c r="AB63" s="68"/>
      <c r="AC63" s="68"/>
      <c r="AD63" s="68"/>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row>
    <row r="64" customFormat="false" ht="15" hidden="false" customHeight="true" outlineLevel="0" collapsed="false">
      <c r="A64" s="8"/>
      <c r="B64" s="65"/>
      <c r="C64" s="65"/>
      <c r="D64" s="65"/>
      <c r="E64" s="65"/>
      <c r="F64" s="65"/>
      <c r="G64" s="65"/>
      <c r="H64" s="65"/>
      <c r="I64" s="66"/>
      <c r="J64" s="66"/>
      <c r="K64" s="66"/>
      <c r="L64" s="66"/>
      <c r="M64" s="66"/>
      <c r="N64" s="34"/>
      <c r="O64" s="66"/>
      <c r="P64" s="66"/>
      <c r="Q64" s="66"/>
      <c r="R64" s="66"/>
      <c r="S64" s="67"/>
      <c r="T64" s="13"/>
      <c r="U64" s="14"/>
      <c r="V64" s="14"/>
      <c r="W64" s="14"/>
      <c r="X64" s="14"/>
      <c r="Y64" s="14"/>
      <c r="Z64" s="14"/>
      <c r="AA64" s="14"/>
      <c r="AB64" s="68"/>
      <c r="AC64" s="68"/>
      <c r="AD64" s="68"/>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row>
    <row r="65" customFormat="false" ht="15" hidden="false" customHeight="true" outlineLevel="0" collapsed="false">
      <c r="A65" s="10" t="s">
        <v>73</v>
      </c>
      <c r="B65" s="10"/>
      <c r="C65" s="10"/>
      <c r="D65" s="10"/>
      <c r="E65" s="10"/>
      <c r="F65" s="10"/>
      <c r="G65" s="10"/>
      <c r="H65" s="10"/>
      <c r="I65" s="10"/>
      <c r="J65" s="10"/>
      <c r="K65" s="74"/>
      <c r="L65" s="9"/>
      <c r="M65" s="9"/>
      <c r="N65" s="34"/>
      <c r="O65" s="9"/>
      <c r="P65" s="9"/>
      <c r="Q65" s="9"/>
      <c r="R65" s="7"/>
      <c r="AB65" s="68"/>
      <c r="AC65" s="68"/>
      <c r="AD65" s="68"/>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row>
    <row r="66" customFormat="false" ht="15" hidden="false" customHeight="true" outlineLevel="0" collapsed="false">
      <c r="A66" s="16" t="s">
        <v>3</v>
      </c>
      <c r="B66" s="16" t="s">
        <v>4</v>
      </c>
      <c r="C66" s="16" t="s">
        <v>5</v>
      </c>
      <c r="D66" s="16"/>
      <c r="E66" s="16" t="s">
        <v>74</v>
      </c>
      <c r="F66" s="15" t="s">
        <v>7</v>
      </c>
      <c r="G66" s="15" t="s">
        <v>8</v>
      </c>
      <c r="H66" s="15" t="s">
        <v>9</v>
      </c>
      <c r="I66" s="16" t="s">
        <v>75</v>
      </c>
      <c r="J66" s="16" t="s">
        <v>76</v>
      </c>
      <c r="K66" s="16"/>
      <c r="L66" s="18" t="s">
        <v>12</v>
      </c>
      <c r="M66" s="9"/>
      <c r="N66" s="34"/>
      <c r="O66" s="9"/>
      <c r="P66" s="9"/>
      <c r="Q66" s="9"/>
      <c r="R66" s="7"/>
      <c r="AB66" s="68"/>
      <c r="AC66" s="68"/>
      <c r="AD66" s="68"/>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row>
    <row r="67" customFormat="false" ht="15" hidden="false" customHeight="true" outlineLevel="0" collapsed="false">
      <c r="A67" s="16"/>
      <c r="B67" s="16"/>
      <c r="C67" s="16" t="s">
        <v>13</v>
      </c>
      <c r="D67" s="75" t="s">
        <v>14</v>
      </c>
      <c r="E67" s="16"/>
      <c r="F67" s="15"/>
      <c r="G67" s="15"/>
      <c r="H67" s="15"/>
      <c r="I67" s="16"/>
      <c r="J67" s="76" t="s">
        <v>77</v>
      </c>
      <c r="K67" s="76" t="s">
        <v>78</v>
      </c>
      <c r="L67" s="18" t="s">
        <v>18</v>
      </c>
      <c r="M67" s="9"/>
      <c r="N67" s="34"/>
      <c r="O67" s="9"/>
      <c r="P67" s="9"/>
      <c r="Q67" s="9"/>
      <c r="R67" s="7"/>
      <c r="AB67" s="68"/>
      <c r="AC67" s="68"/>
      <c r="AD67" s="68"/>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row>
    <row r="68" customFormat="false" ht="15" hidden="false" customHeight="true" outlineLevel="0" collapsed="false">
      <c r="A68" s="22" t="s">
        <v>19</v>
      </c>
      <c r="B68" s="23"/>
      <c r="C68" s="24"/>
      <c r="D68" s="25"/>
      <c r="E68" s="26"/>
      <c r="F68" s="27"/>
      <c r="G68" s="28"/>
      <c r="H68" s="27"/>
      <c r="I68" s="29"/>
      <c r="J68" s="30"/>
      <c r="K68" s="31"/>
      <c r="L68" s="32" t="n">
        <f aca="false">$J$7+$K$7</f>
        <v>0</v>
      </c>
      <c r="M68" s="33" t="str">
        <f aca="false">IF(I68-E68&lt;0,"False","OK")</f>
        <v>OK</v>
      </c>
      <c r="N68" s="34"/>
      <c r="O68" s="9"/>
      <c r="P68" s="9"/>
      <c r="Q68" s="9"/>
      <c r="R68" s="7"/>
      <c r="AB68" s="68"/>
      <c r="AC68" s="68"/>
      <c r="AD68" s="68"/>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row>
    <row r="69" customFormat="false" ht="15" hidden="false" customHeight="true" outlineLevel="0" collapsed="false">
      <c r="A69" s="35" t="s">
        <v>20</v>
      </c>
      <c r="B69" s="36"/>
      <c r="C69" s="37"/>
      <c r="D69" s="38"/>
      <c r="E69" s="39"/>
      <c r="F69" s="40"/>
      <c r="G69" s="41"/>
      <c r="H69" s="40"/>
      <c r="I69" s="42"/>
      <c r="J69" s="43"/>
      <c r="K69" s="44"/>
      <c r="L69" s="45" t="n">
        <f aca="false">$J$8+$K$8</f>
        <v>0</v>
      </c>
      <c r="M69" s="33" t="str">
        <f aca="false">IF(I69-E69&lt;0,"False","OK")</f>
        <v>OK</v>
      </c>
      <c r="N69" s="34"/>
      <c r="O69" s="9"/>
      <c r="P69" s="9"/>
      <c r="Q69" s="9"/>
      <c r="R69" s="7"/>
      <c r="S69" s="5"/>
      <c r="T69" s="5"/>
      <c r="U69" s="68"/>
      <c r="V69" s="68"/>
      <c r="W69" s="68"/>
      <c r="X69" s="68"/>
      <c r="Y69" s="68"/>
      <c r="Z69" s="68"/>
      <c r="AA69" s="68"/>
      <c r="AB69" s="68"/>
      <c r="AC69" s="68"/>
      <c r="AD69" s="68"/>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row>
    <row r="70" customFormat="false" ht="15" hidden="false" customHeight="true" outlineLevel="0" collapsed="false">
      <c r="A70" s="35" t="s">
        <v>21</v>
      </c>
      <c r="B70" s="36"/>
      <c r="C70" s="37"/>
      <c r="D70" s="38"/>
      <c r="E70" s="39"/>
      <c r="F70" s="40"/>
      <c r="G70" s="41"/>
      <c r="H70" s="40"/>
      <c r="I70" s="42"/>
      <c r="J70" s="43"/>
      <c r="K70" s="44"/>
      <c r="L70" s="45" t="n">
        <f aca="false">$J$9+$K$9</f>
        <v>0</v>
      </c>
      <c r="M70" s="33" t="str">
        <f aca="false">IF(I70-E70&lt;0,"False","OK")</f>
        <v>OK</v>
      </c>
      <c r="N70" s="34"/>
      <c r="O70" s="9"/>
      <c r="P70" s="9"/>
      <c r="Q70" s="9"/>
      <c r="R70" s="7"/>
      <c r="S70" s="5"/>
      <c r="T70" s="5"/>
      <c r="U70" s="68"/>
      <c r="V70" s="68"/>
      <c r="W70" s="68"/>
      <c r="X70" s="68"/>
      <c r="Y70" s="68"/>
      <c r="Z70" s="68"/>
      <c r="AA70" s="68"/>
      <c r="AB70" s="68"/>
      <c r="AC70" s="68"/>
      <c r="AD70" s="68"/>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row>
    <row r="71" customFormat="false" ht="15" hidden="false" customHeight="true" outlineLevel="0" collapsed="false">
      <c r="A71" s="35" t="s">
        <v>22</v>
      </c>
      <c r="B71" s="36"/>
      <c r="C71" s="37"/>
      <c r="D71" s="38"/>
      <c r="E71" s="39"/>
      <c r="F71" s="40"/>
      <c r="G71" s="41"/>
      <c r="H71" s="40"/>
      <c r="I71" s="42"/>
      <c r="J71" s="43"/>
      <c r="K71" s="44"/>
      <c r="L71" s="45" t="n">
        <f aca="false">$J$10+$K$10</f>
        <v>0</v>
      </c>
      <c r="M71" s="33" t="str">
        <f aca="false">IF(I71-E71&lt;0,"False","OK")</f>
        <v>OK</v>
      </c>
      <c r="N71" s="34"/>
      <c r="O71" s="9"/>
      <c r="P71" s="9"/>
      <c r="Q71" s="9"/>
      <c r="R71" s="7"/>
      <c r="S71" s="5"/>
      <c r="T71" s="5"/>
      <c r="U71" s="68"/>
      <c r="V71" s="68"/>
      <c r="W71" s="68"/>
      <c r="X71" s="68"/>
      <c r="Y71" s="68"/>
      <c r="Z71" s="68"/>
      <c r="AA71" s="68"/>
      <c r="AB71" s="68"/>
      <c r="AC71" s="68"/>
      <c r="AD71" s="68"/>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row>
    <row r="72" customFormat="false" ht="15" hidden="false" customHeight="true" outlineLevel="0" collapsed="false">
      <c r="A72" s="35" t="s">
        <v>23</v>
      </c>
      <c r="B72" s="36"/>
      <c r="C72" s="37"/>
      <c r="D72" s="38"/>
      <c r="E72" s="39"/>
      <c r="F72" s="40"/>
      <c r="G72" s="41"/>
      <c r="H72" s="40"/>
      <c r="I72" s="42"/>
      <c r="J72" s="43"/>
      <c r="K72" s="44"/>
      <c r="L72" s="45" t="n">
        <f aca="false">$J$11+$K$11</f>
        <v>0</v>
      </c>
      <c r="M72" s="33" t="str">
        <f aca="false">IF(I72-E72&lt;0,"False","OK")</f>
        <v>OK</v>
      </c>
      <c r="N72" s="34"/>
      <c r="O72" s="9"/>
      <c r="P72" s="9"/>
      <c r="Q72" s="9"/>
      <c r="R72" s="7"/>
      <c r="S72" s="5"/>
      <c r="T72" s="5"/>
      <c r="U72" s="68"/>
      <c r="V72" s="68"/>
      <c r="W72" s="68"/>
      <c r="X72" s="68"/>
      <c r="Y72" s="68"/>
      <c r="Z72" s="68"/>
      <c r="AA72" s="68"/>
      <c r="AB72" s="68"/>
      <c r="AC72" s="68"/>
      <c r="AD72" s="68"/>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row>
    <row r="73" customFormat="false" ht="15" hidden="false" customHeight="true" outlineLevel="0" collapsed="false">
      <c r="A73" s="35" t="s">
        <v>24</v>
      </c>
      <c r="B73" s="36"/>
      <c r="C73" s="37"/>
      <c r="D73" s="38"/>
      <c r="E73" s="39"/>
      <c r="F73" s="40"/>
      <c r="G73" s="41"/>
      <c r="H73" s="40"/>
      <c r="I73" s="42"/>
      <c r="J73" s="43"/>
      <c r="K73" s="44"/>
      <c r="L73" s="45" t="n">
        <f aca="false">$J$12+$K$12</f>
        <v>0</v>
      </c>
      <c r="M73" s="33" t="str">
        <f aca="false">IF(I73-E73&lt;0,"False","OK")</f>
        <v>OK</v>
      </c>
      <c r="N73" s="34"/>
      <c r="O73" s="9"/>
      <c r="P73" s="9"/>
      <c r="Q73" s="9"/>
      <c r="R73" s="7"/>
      <c r="S73" s="5"/>
      <c r="T73" s="5"/>
      <c r="U73" s="68"/>
      <c r="V73" s="68"/>
      <c r="W73" s="68"/>
      <c r="X73" s="68"/>
      <c r="Y73" s="68"/>
      <c r="Z73" s="68"/>
      <c r="AA73" s="68"/>
      <c r="AB73" s="68"/>
      <c r="AC73" s="68"/>
      <c r="AD73" s="68"/>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row>
    <row r="74" customFormat="false" ht="15" hidden="false" customHeight="true" outlineLevel="0" collapsed="false">
      <c r="A74" s="35" t="s">
        <v>25</v>
      </c>
      <c r="B74" s="36"/>
      <c r="C74" s="37"/>
      <c r="D74" s="38"/>
      <c r="E74" s="39"/>
      <c r="F74" s="40"/>
      <c r="G74" s="41"/>
      <c r="H74" s="40"/>
      <c r="I74" s="42"/>
      <c r="J74" s="43"/>
      <c r="K74" s="44"/>
      <c r="L74" s="45" t="n">
        <f aca="false">$J$13+$K$13</f>
        <v>0</v>
      </c>
      <c r="M74" s="33" t="str">
        <f aca="false">IF(I74-E74&lt;0,"False","OK")</f>
        <v>OK</v>
      </c>
      <c r="N74" s="34"/>
      <c r="O74" s="9"/>
      <c r="P74" s="9"/>
      <c r="Q74" s="9"/>
      <c r="R74" s="7"/>
      <c r="S74" s="5"/>
      <c r="T74" s="5"/>
      <c r="U74" s="68"/>
      <c r="V74" s="68"/>
      <c r="W74" s="68"/>
      <c r="X74" s="68"/>
      <c r="Y74" s="68"/>
      <c r="Z74" s="68"/>
      <c r="AA74" s="68"/>
      <c r="AB74" s="68"/>
      <c r="AC74" s="68"/>
      <c r="AD74" s="68"/>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row>
    <row r="75" customFormat="false" ht="15" hidden="false" customHeight="true" outlineLevel="0" collapsed="false">
      <c r="A75" s="35" t="s">
        <v>26</v>
      </c>
      <c r="B75" s="36"/>
      <c r="C75" s="37"/>
      <c r="D75" s="38"/>
      <c r="E75" s="39"/>
      <c r="F75" s="40"/>
      <c r="G75" s="41"/>
      <c r="H75" s="40"/>
      <c r="I75" s="42"/>
      <c r="J75" s="43"/>
      <c r="K75" s="44"/>
      <c r="L75" s="45" t="n">
        <f aca="false">$J$14+$K$14</f>
        <v>0</v>
      </c>
      <c r="M75" s="33" t="str">
        <f aca="false">IF(I75-E75&lt;0,"False","OK")</f>
        <v>OK</v>
      </c>
      <c r="N75" s="34"/>
      <c r="O75" s="9"/>
      <c r="P75" s="9"/>
      <c r="Q75" s="9"/>
      <c r="R75" s="7"/>
      <c r="S75" s="5"/>
      <c r="T75" s="5"/>
      <c r="U75" s="68"/>
      <c r="V75" s="68"/>
      <c r="W75" s="68"/>
      <c r="X75" s="68"/>
      <c r="Y75" s="68"/>
      <c r="Z75" s="68"/>
      <c r="AA75" s="68"/>
      <c r="AB75" s="68"/>
      <c r="AC75" s="68"/>
      <c r="AD75" s="68"/>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row>
    <row r="76" customFormat="false" ht="15" hidden="false" customHeight="true" outlineLevel="0" collapsed="false">
      <c r="A76" s="35" t="s">
        <v>27</v>
      </c>
      <c r="B76" s="36"/>
      <c r="C76" s="37"/>
      <c r="D76" s="38"/>
      <c r="E76" s="39"/>
      <c r="F76" s="40"/>
      <c r="G76" s="41"/>
      <c r="H76" s="40"/>
      <c r="I76" s="42"/>
      <c r="J76" s="43"/>
      <c r="K76" s="44"/>
      <c r="L76" s="45" t="n">
        <f aca="false">$J$15+$K$15</f>
        <v>0</v>
      </c>
      <c r="M76" s="33" t="str">
        <f aca="false">IF(I76-E76&lt;0,"False","OK")</f>
        <v>OK</v>
      </c>
      <c r="N76" s="34"/>
      <c r="O76" s="9"/>
      <c r="P76" s="9"/>
      <c r="Q76" s="9"/>
      <c r="R76" s="7"/>
      <c r="S76" s="5"/>
      <c r="T76" s="5"/>
      <c r="U76" s="68"/>
      <c r="V76" s="68"/>
      <c r="W76" s="68"/>
      <c r="X76" s="68"/>
      <c r="Y76" s="68"/>
      <c r="Z76" s="68"/>
      <c r="AA76" s="68"/>
      <c r="AB76" s="68"/>
      <c r="AC76" s="68"/>
      <c r="AD76" s="68"/>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row>
    <row r="77" customFormat="false" ht="15" hidden="false" customHeight="true" outlineLevel="0" collapsed="false">
      <c r="A77" s="35" t="s">
        <v>28</v>
      </c>
      <c r="B77" s="36"/>
      <c r="C77" s="37"/>
      <c r="D77" s="38"/>
      <c r="E77" s="39"/>
      <c r="F77" s="40"/>
      <c r="G77" s="41"/>
      <c r="H77" s="40"/>
      <c r="I77" s="42"/>
      <c r="J77" s="43"/>
      <c r="K77" s="44"/>
      <c r="L77" s="45" t="n">
        <f aca="false">$J$16+$K$16</f>
        <v>0</v>
      </c>
      <c r="M77" s="33" t="str">
        <f aca="false">IF(I77-E77&lt;0,"False","OK")</f>
        <v>OK</v>
      </c>
      <c r="N77" s="34"/>
      <c r="O77" s="9"/>
      <c r="P77" s="9"/>
      <c r="Q77" s="9"/>
      <c r="R77" s="7"/>
      <c r="S77" s="5"/>
      <c r="T77" s="5"/>
      <c r="U77" s="68"/>
      <c r="V77" s="68"/>
      <c r="W77" s="68"/>
      <c r="X77" s="68"/>
      <c r="Y77" s="68"/>
      <c r="Z77" s="68"/>
      <c r="AA77" s="68"/>
      <c r="AB77" s="68"/>
      <c r="AC77" s="68"/>
      <c r="AD77" s="68"/>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row>
    <row r="78" customFormat="false" ht="15" hidden="false" customHeight="true" outlineLevel="0" collapsed="false">
      <c r="A78" s="35" t="s">
        <v>29</v>
      </c>
      <c r="B78" s="36"/>
      <c r="C78" s="37"/>
      <c r="D78" s="38"/>
      <c r="E78" s="39"/>
      <c r="F78" s="40"/>
      <c r="G78" s="41"/>
      <c r="H78" s="40"/>
      <c r="I78" s="42"/>
      <c r="J78" s="43"/>
      <c r="K78" s="44"/>
      <c r="L78" s="45" t="n">
        <f aca="false">$J$17+$K$17</f>
        <v>0</v>
      </c>
      <c r="M78" s="33" t="str">
        <f aca="false">IF(I78-E78&lt;0,"False","OK")</f>
        <v>OK</v>
      </c>
      <c r="N78" s="9"/>
      <c r="O78" s="9"/>
      <c r="P78" s="9"/>
      <c r="Q78" s="9"/>
      <c r="R78" s="7"/>
      <c r="S78" s="5"/>
      <c r="T78" s="5"/>
      <c r="U78" s="68"/>
      <c r="V78" s="68"/>
      <c r="W78" s="68"/>
      <c r="X78" s="68"/>
      <c r="Y78" s="68"/>
      <c r="Z78" s="68"/>
      <c r="AA78" s="68"/>
      <c r="AB78" s="68"/>
      <c r="AC78" s="68"/>
      <c r="AD78" s="68"/>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row>
    <row r="79" customFormat="false" ht="15" hidden="false" customHeight="true" outlineLevel="0" collapsed="false">
      <c r="A79" s="35" t="s">
        <v>30</v>
      </c>
      <c r="B79" s="36"/>
      <c r="C79" s="37"/>
      <c r="D79" s="38"/>
      <c r="E79" s="39"/>
      <c r="F79" s="40"/>
      <c r="G79" s="41"/>
      <c r="H79" s="40"/>
      <c r="I79" s="42"/>
      <c r="J79" s="43"/>
      <c r="K79" s="44"/>
      <c r="L79" s="45" t="n">
        <f aca="false">$J$18+$K$18</f>
        <v>0</v>
      </c>
      <c r="M79" s="33" t="str">
        <f aca="false">IF(I79-E79&lt;0,"False","OK")</f>
        <v>OK</v>
      </c>
      <c r="N79" s="9"/>
      <c r="O79" s="9"/>
      <c r="P79" s="9"/>
      <c r="Q79" s="9"/>
      <c r="R79" s="7"/>
      <c r="S79" s="5"/>
      <c r="T79" s="5"/>
      <c r="U79" s="68"/>
      <c r="V79" s="68"/>
      <c r="W79" s="68"/>
      <c r="X79" s="68"/>
      <c r="Y79" s="68"/>
      <c r="Z79" s="68"/>
      <c r="AA79" s="68"/>
      <c r="AB79" s="68"/>
      <c r="AC79" s="68"/>
      <c r="AD79" s="68"/>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row>
    <row r="80" customFormat="false" ht="15" hidden="false" customHeight="true" outlineLevel="0" collapsed="false">
      <c r="A80" s="35" t="s">
        <v>31</v>
      </c>
      <c r="B80" s="36"/>
      <c r="C80" s="37"/>
      <c r="D80" s="38"/>
      <c r="E80" s="39"/>
      <c r="F80" s="40"/>
      <c r="G80" s="41"/>
      <c r="H80" s="40"/>
      <c r="I80" s="42"/>
      <c r="J80" s="43"/>
      <c r="K80" s="44"/>
      <c r="L80" s="45" t="n">
        <f aca="false">$J$19+$K$19</f>
        <v>0</v>
      </c>
      <c r="M80" s="33" t="str">
        <f aca="false">IF(I80-E80&lt;0,"False","OK")</f>
        <v>OK</v>
      </c>
      <c r="N80" s="9"/>
      <c r="O80" s="9"/>
      <c r="P80" s="9"/>
      <c r="Q80" s="9"/>
      <c r="R80" s="7"/>
      <c r="S80" s="5"/>
      <c r="T80" s="5"/>
      <c r="U80" s="68"/>
      <c r="V80" s="68"/>
      <c r="W80" s="68"/>
      <c r="X80" s="68"/>
      <c r="Y80" s="68"/>
      <c r="Z80" s="68"/>
      <c r="AA80" s="68"/>
      <c r="AB80" s="68"/>
      <c r="AC80" s="68"/>
      <c r="AD80" s="68"/>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row>
    <row r="81" customFormat="false" ht="15" hidden="false" customHeight="true" outlineLevel="0" collapsed="false">
      <c r="A81" s="35" t="s">
        <v>32</v>
      </c>
      <c r="B81" s="36"/>
      <c r="C81" s="37"/>
      <c r="D81" s="38"/>
      <c r="E81" s="39"/>
      <c r="F81" s="40"/>
      <c r="G81" s="41"/>
      <c r="H81" s="40"/>
      <c r="I81" s="42"/>
      <c r="J81" s="43"/>
      <c r="K81" s="44"/>
      <c r="L81" s="45" t="n">
        <f aca="false">$J$20+$K$20</f>
        <v>0</v>
      </c>
      <c r="M81" s="33" t="str">
        <f aca="false">IF(I81-E81&lt;0,"False","OK")</f>
        <v>OK</v>
      </c>
      <c r="N81" s="9"/>
      <c r="O81" s="9"/>
      <c r="P81" s="9"/>
      <c r="Q81" s="9"/>
      <c r="R81" s="7"/>
      <c r="S81" s="5"/>
      <c r="T81" s="5"/>
      <c r="U81" s="68"/>
      <c r="V81" s="68"/>
      <c r="W81" s="68"/>
      <c r="X81" s="68"/>
      <c r="Y81" s="68"/>
      <c r="Z81" s="68"/>
      <c r="AA81" s="68"/>
      <c r="AB81" s="68"/>
      <c r="AC81" s="68"/>
      <c r="AD81" s="68"/>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row>
    <row r="82" customFormat="false" ht="15" hidden="false" customHeight="true" outlineLevel="0" collapsed="false">
      <c r="A82" s="35" t="s">
        <v>33</v>
      </c>
      <c r="B82" s="36"/>
      <c r="C82" s="37"/>
      <c r="D82" s="38"/>
      <c r="E82" s="39"/>
      <c r="F82" s="40"/>
      <c r="G82" s="41"/>
      <c r="H82" s="40"/>
      <c r="I82" s="42"/>
      <c r="J82" s="43"/>
      <c r="K82" s="44"/>
      <c r="L82" s="45" t="n">
        <f aca="false">$J$21+$K$21</f>
        <v>0</v>
      </c>
      <c r="M82" s="33" t="str">
        <f aca="false">IF(I82-E82&lt;0,"False","OK")</f>
        <v>OK</v>
      </c>
      <c r="N82" s="9"/>
      <c r="O82" s="9"/>
      <c r="P82" s="9"/>
      <c r="Q82" s="9"/>
      <c r="R82" s="7"/>
      <c r="S82" s="5"/>
      <c r="T82" s="5"/>
      <c r="U82" s="68"/>
      <c r="V82" s="68"/>
      <c r="W82" s="68"/>
      <c r="X82" s="68"/>
      <c r="Y82" s="68"/>
      <c r="Z82" s="68"/>
      <c r="AA82" s="68"/>
      <c r="AB82" s="68"/>
      <c r="AC82" s="68"/>
      <c r="AD82" s="68"/>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row>
    <row r="83" customFormat="false" ht="15" hidden="false" customHeight="true" outlineLevel="0" collapsed="false">
      <c r="A83" s="35" t="s">
        <v>34</v>
      </c>
      <c r="B83" s="36"/>
      <c r="C83" s="37"/>
      <c r="D83" s="38"/>
      <c r="E83" s="39"/>
      <c r="F83" s="40"/>
      <c r="G83" s="41"/>
      <c r="H83" s="40"/>
      <c r="I83" s="42"/>
      <c r="J83" s="43"/>
      <c r="K83" s="44"/>
      <c r="L83" s="45" t="n">
        <f aca="false">$J$22+$K$22</f>
        <v>0</v>
      </c>
      <c r="M83" s="33" t="str">
        <f aca="false">IF(I83-E83&lt;0,"False","OK")</f>
        <v>OK</v>
      </c>
      <c r="N83" s="9"/>
      <c r="O83" s="9"/>
      <c r="P83" s="9"/>
      <c r="Q83" s="9"/>
      <c r="R83" s="7"/>
      <c r="S83" s="5"/>
      <c r="T83" s="5"/>
      <c r="U83" s="68"/>
      <c r="V83" s="68"/>
      <c r="W83" s="68"/>
      <c r="X83" s="68"/>
      <c r="Y83" s="68"/>
      <c r="Z83" s="68"/>
      <c r="AA83" s="68"/>
      <c r="AB83" s="68"/>
      <c r="AC83" s="68"/>
      <c r="AD83" s="68"/>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row>
    <row r="84" customFormat="false" ht="15" hidden="false" customHeight="true" outlineLevel="0" collapsed="false">
      <c r="A84" s="35" t="s">
        <v>35</v>
      </c>
      <c r="B84" s="46"/>
      <c r="C84" s="37"/>
      <c r="D84" s="38"/>
      <c r="E84" s="39"/>
      <c r="F84" s="40"/>
      <c r="G84" s="41"/>
      <c r="H84" s="40"/>
      <c r="I84" s="42"/>
      <c r="J84" s="47"/>
      <c r="K84" s="77"/>
      <c r="L84" s="45" t="n">
        <f aca="false">$J$23+$K$23</f>
        <v>0</v>
      </c>
      <c r="M84" s="33" t="str">
        <f aca="false">IF(I84-E84&lt;0,"False","OK")</f>
        <v>OK</v>
      </c>
      <c r="N84" s="9"/>
      <c r="O84" s="9"/>
      <c r="P84" s="9"/>
      <c r="Q84" s="9"/>
      <c r="R84" s="7"/>
      <c r="S84" s="5"/>
      <c r="T84" s="5"/>
      <c r="U84" s="68"/>
      <c r="V84" s="68"/>
      <c r="W84" s="68"/>
      <c r="X84" s="68"/>
      <c r="Y84" s="68"/>
      <c r="Z84" s="68"/>
      <c r="AA84" s="68"/>
      <c r="AB84" s="68"/>
      <c r="AC84" s="68"/>
      <c r="AD84" s="68"/>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row>
    <row r="85" customFormat="false" ht="15" hidden="false" customHeight="true" outlineLevel="0" collapsed="false">
      <c r="A85" s="35" t="s">
        <v>36</v>
      </c>
      <c r="B85" s="46"/>
      <c r="C85" s="37"/>
      <c r="D85" s="38"/>
      <c r="E85" s="39"/>
      <c r="F85" s="40"/>
      <c r="G85" s="41"/>
      <c r="H85" s="40"/>
      <c r="I85" s="42"/>
      <c r="J85" s="47"/>
      <c r="K85" s="77"/>
      <c r="L85" s="45" t="n">
        <f aca="false">$J$24+$K$24</f>
        <v>0</v>
      </c>
      <c r="M85" s="33" t="str">
        <f aca="false">IF(I85-E85&lt;0,"False","OK")</f>
        <v>OK</v>
      </c>
      <c r="N85" s="9"/>
      <c r="O85" s="9"/>
      <c r="P85" s="9"/>
      <c r="Q85" s="9"/>
      <c r="R85" s="7"/>
      <c r="S85" s="5"/>
      <c r="T85" s="5"/>
      <c r="U85" s="68"/>
      <c r="V85" s="68"/>
      <c r="W85" s="68"/>
      <c r="X85" s="68"/>
      <c r="Y85" s="68"/>
      <c r="Z85" s="68"/>
      <c r="AA85" s="68"/>
      <c r="AB85" s="68"/>
      <c r="AC85" s="68"/>
      <c r="AD85" s="68"/>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row>
    <row r="86" customFormat="false" ht="15" hidden="false" customHeight="true" outlineLevel="0" collapsed="false">
      <c r="A86" s="35" t="s">
        <v>37</v>
      </c>
      <c r="B86" s="46"/>
      <c r="C86" s="37"/>
      <c r="D86" s="38"/>
      <c r="E86" s="39"/>
      <c r="F86" s="40"/>
      <c r="G86" s="41"/>
      <c r="H86" s="40"/>
      <c r="I86" s="42"/>
      <c r="J86" s="47"/>
      <c r="K86" s="77"/>
      <c r="L86" s="45" t="n">
        <f aca="false">$J$25+$K$25</f>
        <v>0</v>
      </c>
      <c r="M86" s="33" t="str">
        <f aca="false">IF(I86-E86&lt;0,"False","OK")</f>
        <v>OK</v>
      </c>
      <c r="N86" s="9"/>
      <c r="O86" s="9"/>
      <c r="P86" s="9"/>
      <c r="Q86" s="9"/>
      <c r="R86" s="7"/>
      <c r="S86" s="5"/>
      <c r="T86" s="5"/>
      <c r="U86" s="68"/>
      <c r="V86" s="68"/>
      <c r="W86" s="68"/>
      <c r="X86" s="68"/>
      <c r="Y86" s="68"/>
      <c r="Z86" s="68"/>
      <c r="AA86" s="68"/>
      <c r="AB86" s="68"/>
      <c r="AC86" s="68"/>
      <c r="AD86" s="68"/>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row>
    <row r="87" customFormat="false" ht="15" hidden="false" customHeight="true" outlineLevel="0" collapsed="false">
      <c r="A87" s="35" t="s">
        <v>38</v>
      </c>
      <c r="B87" s="46"/>
      <c r="C87" s="37"/>
      <c r="D87" s="38"/>
      <c r="E87" s="39"/>
      <c r="F87" s="40"/>
      <c r="G87" s="41"/>
      <c r="H87" s="40"/>
      <c r="I87" s="42"/>
      <c r="J87" s="47"/>
      <c r="K87" s="77"/>
      <c r="L87" s="45" t="n">
        <f aca="false">$J$26+$K$26</f>
        <v>0</v>
      </c>
      <c r="M87" s="33" t="str">
        <f aca="false">IF(I87-E87&lt;0,"False","OK")</f>
        <v>OK</v>
      </c>
      <c r="N87" s="9"/>
      <c r="O87" s="9"/>
      <c r="P87" s="9"/>
      <c r="Q87" s="9"/>
      <c r="R87" s="7"/>
      <c r="S87" s="5"/>
      <c r="T87" s="5"/>
      <c r="U87" s="68"/>
      <c r="V87" s="68"/>
      <c r="W87" s="68"/>
      <c r="X87" s="68"/>
      <c r="Y87" s="68"/>
      <c r="Z87" s="68"/>
      <c r="AA87" s="68"/>
      <c r="AB87" s="68"/>
      <c r="AC87" s="68"/>
      <c r="AD87" s="68"/>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row>
    <row r="88" customFormat="false" ht="15" hidden="false" customHeight="true" outlineLevel="0" collapsed="false">
      <c r="A88" s="35" t="s">
        <v>39</v>
      </c>
      <c r="B88" s="46"/>
      <c r="C88" s="37"/>
      <c r="D88" s="38"/>
      <c r="E88" s="39"/>
      <c r="F88" s="40"/>
      <c r="G88" s="41"/>
      <c r="H88" s="40"/>
      <c r="I88" s="42"/>
      <c r="J88" s="47"/>
      <c r="K88" s="77"/>
      <c r="L88" s="45" t="n">
        <f aca="false">$J$27+$K$27</f>
        <v>0</v>
      </c>
      <c r="M88" s="33" t="str">
        <f aca="false">IF(I88-E88&lt;0,"False","OK")</f>
        <v>OK</v>
      </c>
      <c r="N88" s="9"/>
      <c r="O88" s="9"/>
      <c r="P88" s="9"/>
      <c r="Q88" s="9"/>
      <c r="R88" s="7"/>
      <c r="S88" s="5"/>
      <c r="T88" s="5"/>
      <c r="U88" s="68"/>
      <c r="V88" s="68"/>
      <c r="W88" s="68"/>
      <c r="X88" s="68"/>
      <c r="Y88" s="68"/>
      <c r="Z88" s="68"/>
      <c r="AA88" s="68"/>
      <c r="AB88" s="68"/>
      <c r="AC88" s="68"/>
      <c r="AD88" s="68"/>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row>
    <row r="89" customFormat="false" ht="15" hidden="false" customHeight="true" outlineLevel="0" collapsed="false">
      <c r="A89" s="35" t="s">
        <v>40</v>
      </c>
      <c r="B89" s="46"/>
      <c r="C89" s="37"/>
      <c r="D89" s="38"/>
      <c r="E89" s="39"/>
      <c r="F89" s="40"/>
      <c r="G89" s="41"/>
      <c r="H89" s="40"/>
      <c r="I89" s="42"/>
      <c r="J89" s="47"/>
      <c r="K89" s="77"/>
      <c r="L89" s="45" t="n">
        <f aca="false">$J$28+$K$28</f>
        <v>0</v>
      </c>
      <c r="M89" s="33" t="str">
        <f aca="false">IF(I89-E89&lt;0,"False","OK")</f>
        <v>OK</v>
      </c>
      <c r="N89" s="9"/>
      <c r="O89" s="9"/>
      <c r="P89" s="9"/>
      <c r="Q89" s="9"/>
      <c r="R89" s="7"/>
      <c r="S89" s="5"/>
      <c r="T89" s="5"/>
      <c r="U89" s="68"/>
      <c r="V89" s="68"/>
      <c r="W89" s="68"/>
      <c r="X89" s="68"/>
      <c r="Y89" s="68"/>
      <c r="Z89" s="68"/>
      <c r="AA89" s="68"/>
      <c r="AB89" s="68"/>
      <c r="AC89" s="68"/>
      <c r="AD89" s="68"/>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row>
    <row r="90" customFormat="false" ht="15" hidden="false" customHeight="true" outlineLevel="0" collapsed="false">
      <c r="A90" s="35" t="s">
        <v>41</v>
      </c>
      <c r="B90" s="46"/>
      <c r="C90" s="37"/>
      <c r="D90" s="38"/>
      <c r="E90" s="39"/>
      <c r="F90" s="40"/>
      <c r="G90" s="41"/>
      <c r="H90" s="40"/>
      <c r="I90" s="42"/>
      <c r="J90" s="47"/>
      <c r="K90" s="77"/>
      <c r="L90" s="45" t="n">
        <f aca="false">$J$29+$K$29</f>
        <v>0</v>
      </c>
      <c r="M90" s="33" t="str">
        <f aca="false">IF(I90-E90&lt;0,"False","OK")</f>
        <v>OK</v>
      </c>
      <c r="N90" s="9"/>
      <c r="O90" s="9"/>
      <c r="P90" s="9"/>
      <c r="Q90" s="9"/>
      <c r="R90" s="7"/>
      <c r="S90" s="5"/>
      <c r="T90" s="5"/>
      <c r="U90" s="68"/>
      <c r="V90" s="68"/>
      <c r="W90" s="68"/>
      <c r="X90" s="68"/>
      <c r="Y90" s="68"/>
      <c r="Z90" s="68"/>
      <c r="AA90" s="68"/>
      <c r="AB90" s="68"/>
      <c r="AC90" s="68"/>
      <c r="AD90" s="68"/>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row>
    <row r="91" customFormat="false" ht="15" hidden="false" customHeight="true" outlineLevel="0" collapsed="false">
      <c r="A91" s="35" t="s">
        <v>42</v>
      </c>
      <c r="B91" s="46"/>
      <c r="C91" s="37"/>
      <c r="D91" s="38"/>
      <c r="E91" s="39"/>
      <c r="F91" s="40"/>
      <c r="G91" s="41"/>
      <c r="H91" s="40"/>
      <c r="I91" s="42"/>
      <c r="J91" s="47"/>
      <c r="K91" s="77"/>
      <c r="L91" s="45" t="n">
        <f aca="false">$J$30+$K$30</f>
        <v>0</v>
      </c>
      <c r="M91" s="33" t="str">
        <f aca="false">IF(I91-E91&lt;0,"False","OK")</f>
        <v>OK</v>
      </c>
      <c r="N91" s="9"/>
      <c r="O91" s="9"/>
      <c r="P91" s="9"/>
      <c r="Q91" s="9"/>
      <c r="R91" s="7"/>
      <c r="S91" s="5"/>
      <c r="T91" s="5"/>
      <c r="U91" s="68"/>
      <c r="V91" s="68"/>
      <c r="W91" s="68"/>
      <c r="X91" s="68"/>
      <c r="Y91" s="68"/>
      <c r="Z91" s="68"/>
      <c r="AA91" s="68"/>
      <c r="AB91" s="68"/>
      <c r="AC91" s="68"/>
      <c r="AD91" s="68"/>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row>
    <row r="92" customFormat="false" ht="15" hidden="false" customHeight="true" outlineLevel="0" collapsed="false">
      <c r="A92" s="35" t="s">
        <v>43</v>
      </c>
      <c r="B92" s="46"/>
      <c r="C92" s="37"/>
      <c r="D92" s="38"/>
      <c r="E92" s="39"/>
      <c r="F92" s="40"/>
      <c r="G92" s="41"/>
      <c r="H92" s="40"/>
      <c r="I92" s="42"/>
      <c r="J92" s="47"/>
      <c r="K92" s="77"/>
      <c r="L92" s="45" t="n">
        <f aca="false">$J$31+$K$31</f>
        <v>0</v>
      </c>
      <c r="M92" s="33" t="str">
        <f aca="false">IF(I92-E92&lt;0,"False","OK")</f>
        <v>OK</v>
      </c>
      <c r="N92" s="9"/>
      <c r="O92" s="9"/>
      <c r="P92" s="9"/>
      <c r="Q92" s="9"/>
      <c r="R92" s="7"/>
      <c r="S92" s="5"/>
      <c r="T92" s="5"/>
      <c r="U92" s="68"/>
      <c r="V92" s="68"/>
      <c r="W92" s="68"/>
      <c r="X92" s="68"/>
      <c r="Y92" s="68"/>
      <c r="Z92" s="68"/>
      <c r="AA92" s="68"/>
      <c r="AB92" s="68"/>
      <c r="AC92" s="68"/>
      <c r="AD92" s="68"/>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row>
    <row r="93" customFormat="false" ht="15" hidden="false" customHeight="true" outlineLevel="0" collapsed="false">
      <c r="A93" s="35" t="s">
        <v>44</v>
      </c>
      <c r="B93" s="46"/>
      <c r="C93" s="37"/>
      <c r="D93" s="38"/>
      <c r="E93" s="39"/>
      <c r="F93" s="40"/>
      <c r="G93" s="41"/>
      <c r="H93" s="40"/>
      <c r="I93" s="42"/>
      <c r="J93" s="47"/>
      <c r="K93" s="77"/>
      <c r="L93" s="45" t="n">
        <f aca="false">$J$32+$K$32</f>
        <v>0</v>
      </c>
      <c r="M93" s="33" t="str">
        <f aca="false">IF(I93-E93&lt;0,"False","OK")</f>
        <v>OK</v>
      </c>
      <c r="N93" s="9"/>
      <c r="O93" s="9"/>
      <c r="P93" s="9"/>
      <c r="Q93" s="9"/>
      <c r="R93" s="7"/>
      <c r="S93" s="5"/>
      <c r="T93" s="5"/>
      <c r="U93" s="68"/>
      <c r="V93" s="68"/>
      <c r="W93" s="68"/>
      <c r="X93" s="68"/>
      <c r="Y93" s="68"/>
      <c r="Z93" s="68"/>
      <c r="AA93" s="68"/>
      <c r="AB93" s="68"/>
      <c r="AC93" s="68"/>
      <c r="AD93" s="68"/>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row>
    <row r="94" customFormat="false" ht="15" hidden="false" customHeight="true" outlineLevel="0" collapsed="false">
      <c r="A94" s="35" t="s">
        <v>45</v>
      </c>
      <c r="B94" s="46"/>
      <c r="C94" s="37"/>
      <c r="D94" s="38"/>
      <c r="E94" s="39"/>
      <c r="F94" s="40"/>
      <c r="G94" s="41"/>
      <c r="H94" s="40"/>
      <c r="I94" s="42"/>
      <c r="J94" s="47"/>
      <c r="K94" s="77"/>
      <c r="L94" s="45" t="n">
        <f aca="false">$J$33+$K$33</f>
        <v>0</v>
      </c>
      <c r="M94" s="33" t="str">
        <f aca="false">IF(I94-E94&lt;0,"False","OK")</f>
        <v>OK</v>
      </c>
      <c r="N94" s="9"/>
      <c r="O94" s="9"/>
      <c r="P94" s="9"/>
      <c r="Q94" s="9"/>
      <c r="R94" s="7"/>
      <c r="S94" s="5"/>
      <c r="T94" s="5"/>
      <c r="U94" s="68"/>
      <c r="V94" s="68"/>
      <c r="W94" s="68"/>
      <c r="X94" s="68"/>
      <c r="Y94" s="68"/>
      <c r="Z94" s="68"/>
      <c r="AA94" s="68"/>
      <c r="AB94" s="68"/>
      <c r="AC94" s="68"/>
      <c r="AD94" s="68"/>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row>
    <row r="95" customFormat="false" ht="15" hidden="false" customHeight="true" outlineLevel="0" collapsed="false">
      <c r="A95" s="35" t="s">
        <v>46</v>
      </c>
      <c r="B95" s="46"/>
      <c r="C95" s="37"/>
      <c r="D95" s="38"/>
      <c r="E95" s="39"/>
      <c r="F95" s="40"/>
      <c r="G95" s="41"/>
      <c r="H95" s="40"/>
      <c r="I95" s="42"/>
      <c r="J95" s="47"/>
      <c r="K95" s="77"/>
      <c r="L95" s="45" t="n">
        <f aca="false">$J$34+$K$34</f>
        <v>0</v>
      </c>
      <c r="M95" s="33" t="str">
        <f aca="false">IF(I95-E95&lt;0,"False","OK")</f>
        <v>OK</v>
      </c>
      <c r="N95" s="9"/>
      <c r="O95" s="9"/>
      <c r="P95" s="9"/>
      <c r="Q95" s="9"/>
      <c r="R95" s="7"/>
      <c r="S95" s="5"/>
      <c r="T95" s="5"/>
      <c r="U95" s="68"/>
      <c r="V95" s="68"/>
      <c r="W95" s="68"/>
      <c r="X95" s="68"/>
      <c r="Y95" s="68"/>
      <c r="Z95" s="68"/>
      <c r="AA95" s="68"/>
      <c r="AB95" s="68"/>
      <c r="AC95" s="68"/>
      <c r="AD95" s="68"/>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row>
    <row r="96" customFormat="false" ht="15" hidden="false" customHeight="true" outlineLevel="0" collapsed="false">
      <c r="A96" s="35" t="s">
        <v>47</v>
      </c>
      <c r="B96" s="46"/>
      <c r="C96" s="37"/>
      <c r="D96" s="38"/>
      <c r="E96" s="39"/>
      <c r="F96" s="40"/>
      <c r="G96" s="41"/>
      <c r="H96" s="40"/>
      <c r="I96" s="42"/>
      <c r="J96" s="47"/>
      <c r="K96" s="77"/>
      <c r="L96" s="45" t="n">
        <f aca="false">$J$35+$K$35</f>
        <v>0</v>
      </c>
      <c r="M96" s="33" t="str">
        <f aca="false">IF(I96-E96&lt;0,"False","OK")</f>
        <v>OK</v>
      </c>
      <c r="N96" s="9"/>
      <c r="O96" s="9"/>
      <c r="P96" s="9"/>
      <c r="Q96" s="9"/>
      <c r="R96" s="7"/>
      <c r="S96" s="5"/>
      <c r="T96" s="5"/>
      <c r="U96" s="68"/>
      <c r="V96" s="68"/>
      <c r="W96" s="68"/>
      <c r="X96" s="68"/>
      <c r="Y96" s="68"/>
      <c r="Z96" s="68"/>
      <c r="AA96" s="68"/>
      <c r="AB96" s="68"/>
      <c r="AC96" s="68"/>
      <c r="AD96" s="68"/>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row>
    <row r="97" customFormat="false" ht="15" hidden="false" customHeight="true" outlineLevel="0" collapsed="false">
      <c r="A97" s="35" t="s">
        <v>48</v>
      </c>
      <c r="B97" s="46"/>
      <c r="C97" s="37"/>
      <c r="D97" s="38"/>
      <c r="E97" s="39"/>
      <c r="F97" s="40"/>
      <c r="G97" s="41"/>
      <c r="H97" s="40"/>
      <c r="I97" s="42"/>
      <c r="J97" s="47"/>
      <c r="K97" s="77"/>
      <c r="L97" s="45" t="n">
        <f aca="false">$J$36+$K$36</f>
        <v>0</v>
      </c>
      <c r="M97" s="33" t="str">
        <f aca="false">IF(I97-E97&lt;0,"False","OK")</f>
        <v>OK</v>
      </c>
      <c r="N97" s="9"/>
      <c r="O97" s="9"/>
      <c r="P97" s="9"/>
      <c r="Q97" s="9"/>
      <c r="R97" s="7"/>
      <c r="S97" s="5"/>
      <c r="T97" s="5"/>
      <c r="U97" s="68"/>
      <c r="V97" s="68"/>
      <c r="W97" s="68"/>
      <c r="X97" s="68"/>
      <c r="Y97" s="68"/>
      <c r="Z97" s="68"/>
      <c r="AA97" s="68"/>
      <c r="AB97" s="68"/>
      <c r="AC97" s="68"/>
      <c r="AD97" s="68"/>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row>
    <row r="98" customFormat="false" ht="15" hidden="false" customHeight="true" outlineLevel="0" collapsed="false">
      <c r="A98" s="35" t="s">
        <v>49</v>
      </c>
      <c r="B98" s="46"/>
      <c r="C98" s="37"/>
      <c r="D98" s="38"/>
      <c r="E98" s="39"/>
      <c r="F98" s="40"/>
      <c r="G98" s="41"/>
      <c r="H98" s="40"/>
      <c r="I98" s="42"/>
      <c r="J98" s="47"/>
      <c r="K98" s="77"/>
      <c r="L98" s="45" t="n">
        <f aca="false">$J$37+$K$37</f>
        <v>0</v>
      </c>
      <c r="M98" s="33" t="str">
        <f aca="false">IF(I98-E98&lt;0,"False","OK")</f>
        <v>OK</v>
      </c>
      <c r="N98" s="9"/>
      <c r="O98" s="9"/>
      <c r="P98" s="9"/>
      <c r="Q98" s="9"/>
      <c r="R98" s="7"/>
      <c r="S98" s="5"/>
      <c r="T98" s="5"/>
      <c r="U98" s="68"/>
      <c r="V98" s="68"/>
      <c r="W98" s="68"/>
      <c r="X98" s="68"/>
      <c r="Y98" s="68"/>
      <c r="Z98" s="68"/>
      <c r="AA98" s="68"/>
      <c r="AB98" s="68"/>
      <c r="AC98" s="68"/>
      <c r="AD98" s="68"/>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row>
    <row r="99" customFormat="false" ht="15" hidden="false" customHeight="true" outlineLevel="0" collapsed="false">
      <c r="A99" s="35" t="s">
        <v>50</v>
      </c>
      <c r="B99" s="46"/>
      <c r="C99" s="37"/>
      <c r="D99" s="38"/>
      <c r="E99" s="39"/>
      <c r="F99" s="40"/>
      <c r="G99" s="41"/>
      <c r="H99" s="40"/>
      <c r="I99" s="42"/>
      <c r="J99" s="47"/>
      <c r="K99" s="77"/>
      <c r="L99" s="45" t="n">
        <f aca="false">$J$38+$K$38</f>
        <v>0</v>
      </c>
      <c r="M99" s="33" t="str">
        <f aca="false">IF(I99-E99&lt;0,"False","OK")</f>
        <v>OK</v>
      </c>
      <c r="N99" s="9"/>
      <c r="O99" s="9"/>
      <c r="P99" s="9"/>
      <c r="Q99" s="9"/>
      <c r="R99" s="7"/>
      <c r="S99" s="5"/>
      <c r="T99" s="5"/>
      <c r="U99" s="68"/>
      <c r="V99" s="68"/>
      <c r="W99" s="68"/>
      <c r="X99" s="68"/>
      <c r="Y99" s="68"/>
      <c r="Z99" s="68"/>
      <c r="AA99" s="68"/>
      <c r="AB99" s="68"/>
      <c r="AC99" s="68"/>
      <c r="AD99" s="68"/>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row>
    <row r="100" customFormat="false" ht="15" hidden="false" customHeight="true" outlineLevel="0" collapsed="false">
      <c r="A100" s="35" t="s">
        <v>51</v>
      </c>
      <c r="B100" s="46"/>
      <c r="C100" s="37"/>
      <c r="D100" s="38"/>
      <c r="E100" s="39"/>
      <c r="F100" s="40"/>
      <c r="G100" s="41"/>
      <c r="H100" s="40"/>
      <c r="I100" s="42"/>
      <c r="J100" s="47"/>
      <c r="K100" s="77"/>
      <c r="L100" s="45" t="n">
        <f aca="false">$J$39+$K$39</f>
        <v>0</v>
      </c>
      <c r="M100" s="33" t="str">
        <f aca="false">IF(I100-E100&lt;0,"False","OK")</f>
        <v>OK</v>
      </c>
      <c r="N100" s="9"/>
      <c r="O100" s="9"/>
      <c r="P100" s="9"/>
      <c r="Q100" s="9"/>
      <c r="R100" s="7"/>
      <c r="S100" s="5"/>
      <c r="T100" s="5"/>
      <c r="U100" s="68"/>
      <c r="V100" s="68"/>
      <c r="W100" s="68"/>
      <c r="X100" s="68"/>
      <c r="Y100" s="68"/>
      <c r="Z100" s="68"/>
      <c r="AA100" s="68"/>
      <c r="AB100" s="68"/>
      <c r="AC100" s="68"/>
      <c r="AD100" s="68"/>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row>
    <row r="101" customFormat="false" ht="15" hidden="false" customHeight="true" outlineLevel="0" collapsed="false">
      <c r="A101" s="35" t="s">
        <v>52</v>
      </c>
      <c r="B101" s="46"/>
      <c r="C101" s="37"/>
      <c r="D101" s="38"/>
      <c r="E101" s="39"/>
      <c r="F101" s="40"/>
      <c r="G101" s="41"/>
      <c r="H101" s="40"/>
      <c r="I101" s="42"/>
      <c r="J101" s="47"/>
      <c r="K101" s="77"/>
      <c r="L101" s="45" t="n">
        <f aca="false">$J$40+$K$40</f>
        <v>0</v>
      </c>
      <c r="M101" s="33" t="str">
        <f aca="false">IF(I101-E101&lt;0,"False","OK")</f>
        <v>OK</v>
      </c>
      <c r="N101" s="9"/>
      <c r="O101" s="9"/>
      <c r="P101" s="9"/>
      <c r="Q101" s="9"/>
      <c r="R101" s="7"/>
      <c r="S101" s="5"/>
      <c r="T101" s="5"/>
      <c r="U101" s="68"/>
      <c r="V101" s="68"/>
      <c r="W101" s="68"/>
      <c r="X101" s="68"/>
      <c r="Y101" s="68"/>
      <c r="Z101" s="68"/>
      <c r="AA101" s="68"/>
      <c r="AB101" s="68"/>
      <c r="AC101" s="68"/>
      <c r="AD101" s="68"/>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row>
    <row r="102" customFormat="false" ht="15" hidden="false" customHeight="true" outlineLevel="0" collapsed="false">
      <c r="A102" s="35" t="s">
        <v>53</v>
      </c>
      <c r="B102" s="46"/>
      <c r="C102" s="37"/>
      <c r="D102" s="38"/>
      <c r="E102" s="39"/>
      <c r="F102" s="40"/>
      <c r="G102" s="41"/>
      <c r="H102" s="40"/>
      <c r="I102" s="42"/>
      <c r="J102" s="47"/>
      <c r="K102" s="77"/>
      <c r="L102" s="45" t="n">
        <f aca="false">$J$41+$K$41</f>
        <v>0</v>
      </c>
      <c r="M102" s="33" t="str">
        <f aca="false">IF(I102-E102&lt;0,"False","OK")</f>
        <v>OK</v>
      </c>
      <c r="N102" s="9"/>
      <c r="O102" s="9"/>
      <c r="P102" s="9"/>
      <c r="Q102" s="9"/>
      <c r="R102" s="7"/>
      <c r="S102" s="5"/>
      <c r="T102" s="5"/>
      <c r="U102" s="68"/>
      <c r="V102" s="68"/>
      <c r="W102" s="68"/>
      <c r="X102" s="68"/>
      <c r="Y102" s="68"/>
      <c r="Z102" s="68"/>
      <c r="AA102" s="68"/>
      <c r="AB102" s="68"/>
      <c r="AC102" s="68"/>
      <c r="AD102" s="68"/>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row>
    <row r="103" customFormat="false" ht="15" hidden="false" customHeight="true" outlineLevel="0" collapsed="false">
      <c r="A103" s="35" t="s">
        <v>54</v>
      </c>
      <c r="B103" s="46"/>
      <c r="C103" s="37"/>
      <c r="D103" s="38"/>
      <c r="E103" s="39"/>
      <c r="F103" s="40"/>
      <c r="G103" s="41"/>
      <c r="H103" s="40"/>
      <c r="I103" s="42"/>
      <c r="J103" s="47"/>
      <c r="K103" s="77"/>
      <c r="L103" s="45" t="n">
        <f aca="false">$J$42+$K$42</f>
        <v>0</v>
      </c>
      <c r="M103" s="33" t="str">
        <f aca="false">IF(I103-E103&lt;0,"False","OK")</f>
        <v>OK</v>
      </c>
      <c r="N103" s="9"/>
      <c r="O103" s="9"/>
      <c r="P103" s="9"/>
      <c r="Q103" s="9"/>
      <c r="R103" s="7"/>
      <c r="S103" s="5"/>
      <c r="T103" s="5"/>
      <c r="U103" s="68"/>
      <c r="V103" s="68"/>
      <c r="W103" s="68"/>
      <c r="X103" s="68"/>
      <c r="Y103" s="68"/>
      <c r="Z103" s="68"/>
      <c r="AA103" s="68"/>
      <c r="AB103" s="68"/>
      <c r="AC103" s="68"/>
      <c r="AD103" s="68"/>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row>
    <row r="104" customFormat="false" ht="15" hidden="false" customHeight="true" outlineLevel="0" collapsed="false">
      <c r="A104" s="35" t="s">
        <v>55</v>
      </c>
      <c r="B104" s="46"/>
      <c r="C104" s="37"/>
      <c r="D104" s="38"/>
      <c r="E104" s="39"/>
      <c r="F104" s="40"/>
      <c r="G104" s="41"/>
      <c r="H104" s="40"/>
      <c r="I104" s="42"/>
      <c r="J104" s="47"/>
      <c r="K104" s="77"/>
      <c r="L104" s="45" t="n">
        <f aca="false">$J$43+$K$43</f>
        <v>0</v>
      </c>
      <c r="M104" s="33" t="str">
        <f aca="false">IF(I104-E104&lt;0,"False","OK")</f>
        <v>OK</v>
      </c>
      <c r="N104" s="9"/>
      <c r="O104" s="9"/>
      <c r="P104" s="9"/>
      <c r="Q104" s="9"/>
      <c r="R104" s="7"/>
      <c r="S104" s="5"/>
      <c r="T104" s="5"/>
      <c r="U104" s="68"/>
      <c r="V104" s="68"/>
      <c r="W104" s="68"/>
      <c r="X104" s="68"/>
      <c r="Y104" s="68"/>
      <c r="Z104" s="68"/>
      <c r="AA104" s="68"/>
      <c r="AB104" s="68"/>
      <c r="AC104" s="68"/>
      <c r="AD104" s="68"/>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row>
    <row r="105" customFormat="false" ht="15" hidden="false" customHeight="true" outlineLevel="0" collapsed="false">
      <c r="A105" s="35" t="s">
        <v>56</v>
      </c>
      <c r="B105" s="46"/>
      <c r="C105" s="37"/>
      <c r="D105" s="38"/>
      <c r="E105" s="39"/>
      <c r="F105" s="40"/>
      <c r="G105" s="41"/>
      <c r="H105" s="40"/>
      <c r="I105" s="42"/>
      <c r="J105" s="47"/>
      <c r="K105" s="77"/>
      <c r="L105" s="45" t="n">
        <f aca="false">$J$44+$K$44</f>
        <v>0</v>
      </c>
      <c r="M105" s="33" t="str">
        <f aca="false">IF(I105-E105&lt;0,"False","OK")</f>
        <v>OK</v>
      </c>
      <c r="N105" s="9"/>
      <c r="O105" s="9"/>
      <c r="P105" s="9"/>
      <c r="Q105" s="9"/>
      <c r="R105" s="7"/>
      <c r="S105" s="5"/>
      <c r="T105" s="5"/>
      <c r="U105" s="68"/>
      <c r="V105" s="68"/>
      <c r="W105" s="68"/>
      <c r="X105" s="68"/>
      <c r="Y105" s="68"/>
      <c r="Z105" s="68"/>
      <c r="AA105" s="68"/>
      <c r="AB105" s="68"/>
      <c r="AC105" s="68"/>
      <c r="AD105" s="68"/>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row>
    <row r="106" customFormat="false" ht="15" hidden="false" customHeight="true" outlineLevel="0" collapsed="false">
      <c r="A106" s="35" t="s">
        <v>57</v>
      </c>
      <c r="B106" s="46"/>
      <c r="C106" s="37"/>
      <c r="D106" s="38"/>
      <c r="E106" s="39"/>
      <c r="F106" s="40"/>
      <c r="G106" s="41"/>
      <c r="H106" s="40"/>
      <c r="I106" s="42"/>
      <c r="J106" s="47"/>
      <c r="K106" s="77"/>
      <c r="L106" s="45" t="n">
        <f aca="false">$J$45+$K$45</f>
        <v>0</v>
      </c>
      <c r="M106" s="33" t="str">
        <f aca="false">IF(I106-E106&lt;0,"False","OK")</f>
        <v>OK</v>
      </c>
      <c r="N106" s="9"/>
      <c r="O106" s="9"/>
      <c r="P106" s="9"/>
      <c r="Q106" s="9"/>
      <c r="R106" s="7"/>
      <c r="S106" s="5"/>
      <c r="T106" s="5"/>
      <c r="U106" s="68"/>
      <c r="V106" s="68"/>
      <c r="W106" s="68"/>
      <c r="X106" s="68"/>
      <c r="Y106" s="68"/>
      <c r="Z106" s="68"/>
      <c r="AA106" s="68"/>
      <c r="AB106" s="68"/>
      <c r="AC106" s="68"/>
      <c r="AD106" s="68"/>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row>
    <row r="107" customFormat="false" ht="15" hidden="false" customHeight="true" outlineLevel="0" collapsed="false">
      <c r="A107" s="35" t="s">
        <v>58</v>
      </c>
      <c r="B107" s="46"/>
      <c r="C107" s="37"/>
      <c r="D107" s="38"/>
      <c r="E107" s="39"/>
      <c r="F107" s="40"/>
      <c r="G107" s="41"/>
      <c r="H107" s="40"/>
      <c r="I107" s="42"/>
      <c r="J107" s="47"/>
      <c r="K107" s="77"/>
      <c r="L107" s="45" t="n">
        <f aca="false">$J$46+$K$46</f>
        <v>0</v>
      </c>
      <c r="M107" s="33" t="str">
        <f aca="false">IF(I107-E107&lt;0,"False","OK")</f>
        <v>OK</v>
      </c>
      <c r="N107" s="9"/>
      <c r="O107" s="9"/>
      <c r="P107" s="9"/>
      <c r="Q107" s="9"/>
      <c r="R107" s="7"/>
      <c r="S107" s="5"/>
      <c r="T107" s="5"/>
      <c r="U107" s="68"/>
      <c r="V107" s="68"/>
      <c r="W107" s="68"/>
      <c r="X107" s="68"/>
      <c r="Y107" s="68"/>
      <c r="Z107" s="68"/>
      <c r="AA107" s="68"/>
      <c r="AB107" s="68"/>
      <c r="AC107" s="68"/>
      <c r="AD107" s="68"/>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row>
    <row r="108" customFormat="false" ht="15" hidden="false" customHeight="true" outlineLevel="0" collapsed="false">
      <c r="A108" s="35" t="s">
        <v>59</v>
      </c>
      <c r="B108" s="46"/>
      <c r="C108" s="37"/>
      <c r="D108" s="38"/>
      <c r="E108" s="39"/>
      <c r="F108" s="40"/>
      <c r="G108" s="41"/>
      <c r="H108" s="40"/>
      <c r="I108" s="42"/>
      <c r="J108" s="47"/>
      <c r="K108" s="77"/>
      <c r="L108" s="45" t="n">
        <f aca="false">$J$47+$K$47</f>
        <v>0</v>
      </c>
      <c r="M108" s="33" t="str">
        <f aca="false">IF(I108-E108&lt;0,"False","OK")</f>
        <v>OK</v>
      </c>
      <c r="N108" s="9"/>
      <c r="O108" s="9"/>
      <c r="P108" s="9"/>
      <c r="Q108" s="9"/>
      <c r="R108" s="7"/>
      <c r="S108" s="5"/>
      <c r="T108" s="5"/>
      <c r="U108" s="68"/>
      <c r="V108" s="68"/>
      <c r="W108" s="68"/>
      <c r="X108" s="68"/>
      <c r="Y108" s="68"/>
      <c r="Z108" s="68"/>
      <c r="AA108" s="68"/>
      <c r="AB108" s="68"/>
      <c r="AC108" s="68"/>
      <c r="AD108" s="68"/>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row>
    <row r="109" customFormat="false" ht="15" hidden="false" customHeight="true" outlineLevel="0" collapsed="false">
      <c r="A109" s="35" t="s">
        <v>60</v>
      </c>
      <c r="B109" s="46"/>
      <c r="C109" s="37"/>
      <c r="D109" s="38"/>
      <c r="E109" s="39"/>
      <c r="F109" s="40"/>
      <c r="G109" s="41"/>
      <c r="H109" s="40"/>
      <c r="I109" s="42"/>
      <c r="J109" s="47"/>
      <c r="K109" s="77"/>
      <c r="L109" s="45" t="n">
        <f aca="false">$J$48+$K$48</f>
        <v>0</v>
      </c>
      <c r="M109" s="33" t="str">
        <f aca="false">IF(I109-E109&lt;0,"False","OK")</f>
        <v>OK</v>
      </c>
      <c r="N109" s="9"/>
      <c r="O109" s="9"/>
      <c r="P109" s="9"/>
      <c r="Q109" s="9"/>
      <c r="R109" s="7"/>
      <c r="S109" s="5"/>
      <c r="T109" s="5"/>
      <c r="U109" s="68"/>
      <c r="V109" s="68"/>
      <c r="W109" s="68"/>
      <c r="X109" s="68"/>
      <c r="Y109" s="68"/>
      <c r="Z109" s="68"/>
      <c r="AA109" s="68"/>
      <c r="AB109" s="68"/>
      <c r="AC109" s="68"/>
      <c r="AD109" s="68"/>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row>
    <row r="110" customFormat="false" ht="15" hidden="false" customHeight="true" outlineLevel="0" collapsed="false">
      <c r="A110" s="35" t="s">
        <v>61</v>
      </c>
      <c r="B110" s="46"/>
      <c r="C110" s="37"/>
      <c r="D110" s="38"/>
      <c r="E110" s="39"/>
      <c r="F110" s="40"/>
      <c r="G110" s="41"/>
      <c r="H110" s="40"/>
      <c r="I110" s="42"/>
      <c r="J110" s="47"/>
      <c r="K110" s="77"/>
      <c r="L110" s="45" t="n">
        <f aca="false">$J$49+$K$49</f>
        <v>0</v>
      </c>
      <c r="M110" s="33" t="str">
        <f aca="false">IF(I110-E110&lt;0,"False","OK")</f>
        <v>OK</v>
      </c>
      <c r="N110" s="9"/>
      <c r="O110" s="9"/>
      <c r="P110" s="9"/>
      <c r="Q110" s="9"/>
      <c r="R110" s="7"/>
      <c r="S110" s="5"/>
      <c r="T110" s="5"/>
      <c r="U110" s="68"/>
      <c r="V110" s="68"/>
      <c r="W110" s="68"/>
      <c r="X110" s="68"/>
      <c r="Y110" s="68"/>
      <c r="Z110" s="68"/>
      <c r="AA110" s="68"/>
      <c r="AB110" s="68"/>
      <c r="AC110" s="68"/>
      <c r="AD110" s="68"/>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row>
    <row r="111" customFormat="false" ht="15" hidden="false" customHeight="true" outlineLevel="0" collapsed="false">
      <c r="A111" s="35" t="s">
        <v>62</v>
      </c>
      <c r="B111" s="46"/>
      <c r="C111" s="37"/>
      <c r="D111" s="38"/>
      <c r="E111" s="39"/>
      <c r="F111" s="40"/>
      <c r="G111" s="41"/>
      <c r="H111" s="40"/>
      <c r="I111" s="42"/>
      <c r="J111" s="47"/>
      <c r="K111" s="77"/>
      <c r="L111" s="45" t="n">
        <f aca="false">$J$50+$K$50</f>
        <v>0</v>
      </c>
      <c r="M111" s="33" t="str">
        <f aca="false">IF(I111-E111&lt;0,"False","OK")</f>
        <v>OK</v>
      </c>
      <c r="N111" s="9"/>
      <c r="O111" s="9"/>
      <c r="P111" s="9"/>
      <c r="Q111" s="9"/>
      <c r="R111" s="7"/>
      <c r="S111" s="5"/>
      <c r="T111" s="5"/>
      <c r="U111" s="68"/>
      <c r="V111" s="68"/>
      <c r="W111" s="68"/>
      <c r="X111" s="68"/>
      <c r="Y111" s="68"/>
      <c r="Z111" s="68"/>
      <c r="AA111" s="68"/>
      <c r="AB111" s="68"/>
      <c r="AC111" s="68"/>
      <c r="AD111" s="68"/>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row>
    <row r="112" customFormat="false" ht="15" hidden="false" customHeight="true" outlineLevel="0" collapsed="false">
      <c r="A112" s="35" t="s">
        <v>63</v>
      </c>
      <c r="B112" s="46"/>
      <c r="C112" s="37"/>
      <c r="D112" s="38"/>
      <c r="E112" s="39"/>
      <c r="F112" s="40"/>
      <c r="G112" s="41"/>
      <c r="H112" s="40"/>
      <c r="I112" s="42"/>
      <c r="J112" s="47"/>
      <c r="K112" s="77"/>
      <c r="L112" s="45" t="n">
        <f aca="false">$J$40+$K$40</f>
        <v>0</v>
      </c>
      <c r="M112" s="33" t="str">
        <f aca="false">IF(I112-E112&lt;0,"False","OK")</f>
        <v>OK</v>
      </c>
      <c r="N112" s="9"/>
      <c r="O112" s="9"/>
      <c r="P112" s="9"/>
      <c r="Q112" s="9"/>
      <c r="R112" s="7"/>
      <c r="S112" s="5"/>
      <c r="T112" s="5"/>
      <c r="U112" s="68"/>
      <c r="V112" s="68"/>
      <c r="W112" s="68"/>
      <c r="X112" s="68"/>
      <c r="Y112" s="68"/>
      <c r="Z112" s="68"/>
      <c r="AA112" s="68"/>
      <c r="AB112" s="68"/>
      <c r="AC112" s="68"/>
      <c r="AD112" s="68"/>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row>
    <row r="113" customFormat="false" ht="15" hidden="false" customHeight="true" outlineLevel="0" collapsed="false">
      <c r="A113" s="35" t="s">
        <v>64</v>
      </c>
      <c r="B113" s="46"/>
      <c r="C113" s="37"/>
      <c r="D113" s="38"/>
      <c r="E113" s="39"/>
      <c r="F113" s="40"/>
      <c r="G113" s="41"/>
      <c r="H113" s="40"/>
      <c r="I113" s="42"/>
      <c r="J113" s="47"/>
      <c r="K113" s="77"/>
      <c r="L113" s="45" t="n">
        <f aca="false">$J$52+$K$52</f>
        <v>0</v>
      </c>
      <c r="M113" s="33" t="str">
        <f aca="false">IF(I113-E113&lt;0,"False","OK")</f>
        <v>OK</v>
      </c>
      <c r="N113" s="9"/>
      <c r="O113" s="9"/>
      <c r="P113" s="9"/>
      <c r="Q113" s="9"/>
      <c r="R113" s="7"/>
      <c r="S113" s="5"/>
      <c r="T113" s="5"/>
      <c r="U113" s="68"/>
      <c r="V113" s="68"/>
      <c r="W113" s="68"/>
      <c r="X113" s="68"/>
      <c r="Y113" s="68"/>
      <c r="Z113" s="68"/>
      <c r="AA113" s="68"/>
      <c r="AB113" s="68"/>
      <c r="AC113" s="68"/>
      <c r="AD113" s="68"/>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row>
    <row r="114" customFormat="false" ht="15" hidden="false" customHeight="true" outlineLevel="0" collapsed="false">
      <c r="A114" s="35" t="s">
        <v>65</v>
      </c>
      <c r="B114" s="46"/>
      <c r="C114" s="37"/>
      <c r="D114" s="38"/>
      <c r="E114" s="39"/>
      <c r="F114" s="40"/>
      <c r="G114" s="41"/>
      <c r="H114" s="40"/>
      <c r="I114" s="42"/>
      <c r="J114" s="47"/>
      <c r="K114" s="77"/>
      <c r="L114" s="45" t="n">
        <f aca="false">$J$53+$K$53</f>
        <v>0</v>
      </c>
      <c r="M114" s="33" t="str">
        <f aca="false">IF(I114-E114&lt;0,"False","OK")</f>
        <v>OK</v>
      </c>
      <c r="N114" s="9"/>
      <c r="O114" s="9"/>
      <c r="P114" s="9"/>
      <c r="Q114" s="9"/>
      <c r="R114" s="7"/>
      <c r="S114" s="5"/>
      <c r="T114" s="5"/>
      <c r="U114" s="68"/>
      <c r="V114" s="68"/>
      <c r="W114" s="68"/>
      <c r="X114" s="68"/>
      <c r="Y114" s="68"/>
      <c r="Z114" s="68"/>
      <c r="AA114" s="68"/>
      <c r="AB114" s="68"/>
      <c r="AC114" s="68"/>
      <c r="AD114" s="68"/>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row>
    <row r="115" customFormat="false" ht="15" hidden="false" customHeight="true" outlineLevel="0" collapsed="false">
      <c r="A115" s="35" t="s">
        <v>66</v>
      </c>
      <c r="B115" s="46"/>
      <c r="C115" s="37"/>
      <c r="D115" s="38"/>
      <c r="E115" s="39"/>
      <c r="F115" s="40"/>
      <c r="G115" s="41"/>
      <c r="H115" s="40"/>
      <c r="I115" s="42"/>
      <c r="J115" s="47"/>
      <c r="K115" s="77"/>
      <c r="L115" s="45" t="n">
        <f aca="false">$J$54+$K$54</f>
        <v>0</v>
      </c>
      <c r="M115" s="33" t="str">
        <f aca="false">IF(I115-E115&lt;0,"False","OK")</f>
        <v>OK</v>
      </c>
      <c r="N115" s="9"/>
      <c r="O115" s="9"/>
      <c r="P115" s="9"/>
      <c r="Q115" s="9"/>
      <c r="R115" s="7"/>
      <c r="S115" s="5"/>
      <c r="T115" s="5"/>
      <c r="U115" s="68"/>
      <c r="V115" s="68"/>
      <c r="W115" s="68"/>
      <c r="X115" s="68"/>
      <c r="Y115" s="68"/>
      <c r="Z115" s="68"/>
      <c r="AA115" s="68"/>
      <c r="AB115" s="68"/>
      <c r="AC115" s="68"/>
      <c r="AD115" s="68"/>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row>
    <row r="116" customFormat="false" ht="15" hidden="false" customHeight="true" outlineLevel="0" collapsed="false">
      <c r="A116" s="35" t="s">
        <v>67</v>
      </c>
      <c r="B116" s="46"/>
      <c r="C116" s="37"/>
      <c r="D116" s="38"/>
      <c r="E116" s="39"/>
      <c r="F116" s="40"/>
      <c r="G116" s="41"/>
      <c r="H116" s="40"/>
      <c r="I116" s="42"/>
      <c r="J116" s="47"/>
      <c r="K116" s="77"/>
      <c r="L116" s="45" t="n">
        <f aca="false">$J$55+$K$55</f>
        <v>0</v>
      </c>
      <c r="M116" s="33" t="str">
        <f aca="false">IF(I116-E116&lt;0,"False","OK")</f>
        <v>OK</v>
      </c>
      <c r="N116" s="9"/>
      <c r="O116" s="9"/>
      <c r="P116" s="9"/>
      <c r="Q116" s="9"/>
      <c r="R116" s="7"/>
      <c r="S116" s="5"/>
      <c r="T116" s="5"/>
      <c r="U116" s="68"/>
      <c r="V116" s="68"/>
      <c r="W116" s="68"/>
      <c r="X116" s="68"/>
      <c r="Y116" s="68"/>
      <c r="Z116" s="68"/>
      <c r="AA116" s="68"/>
      <c r="AB116" s="68"/>
      <c r="AC116" s="68"/>
      <c r="AD116" s="68"/>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row>
    <row r="117" customFormat="false" ht="15" hidden="false" customHeight="true" outlineLevel="0" collapsed="false">
      <c r="A117" s="50" t="s">
        <v>68</v>
      </c>
      <c r="B117" s="51"/>
      <c r="C117" s="37"/>
      <c r="D117" s="38"/>
      <c r="E117" s="52"/>
      <c r="F117" s="40"/>
      <c r="G117" s="53"/>
      <c r="H117" s="40"/>
      <c r="I117" s="49"/>
      <c r="J117" s="54"/>
      <c r="K117" s="78"/>
      <c r="L117" s="79" t="n">
        <f aca="false">$J$56+$K$56</f>
        <v>0</v>
      </c>
      <c r="M117" s="33" t="str">
        <f aca="false">IF(I117-E117&lt;0,"False","OK")</f>
        <v>OK</v>
      </c>
      <c r="N117" s="9"/>
      <c r="O117" s="9"/>
      <c r="P117" s="9"/>
      <c r="Q117" s="9"/>
      <c r="R117" s="7"/>
      <c r="T117" s="5"/>
      <c r="U117" s="68"/>
      <c r="V117" s="68"/>
      <c r="W117" s="68"/>
      <c r="X117" s="68"/>
      <c r="Y117" s="68"/>
      <c r="Z117" s="68"/>
      <c r="AA117" s="68"/>
      <c r="AB117" s="68"/>
      <c r="AC117" s="68"/>
      <c r="AD117" s="68"/>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row>
    <row r="118" customFormat="false" ht="15" hidden="false" customHeight="true" outlineLevel="0" collapsed="false">
      <c r="A118" s="80" t="s">
        <v>17</v>
      </c>
      <c r="B118" s="81"/>
      <c r="C118" s="81"/>
      <c r="D118" s="81"/>
      <c r="E118" s="81"/>
      <c r="F118" s="81"/>
      <c r="G118" s="81"/>
      <c r="H118" s="81"/>
      <c r="I118" s="81"/>
      <c r="J118" s="81" t="n">
        <f aca="false">SUM(J68:J117)</f>
        <v>0</v>
      </c>
      <c r="K118" s="81" t="n">
        <f aca="false">SUM(K68:K117)</f>
        <v>0</v>
      </c>
      <c r="L118" s="82" t="n">
        <f aca="false">SUM(L68:L117)</f>
        <v>0</v>
      </c>
      <c r="M118" s="33" t="str">
        <f aca="false">IF(I118-E118&lt;0,"False","OK")</f>
        <v>OK</v>
      </c>
      <c r="N118" s="9"/>
      <c r="O118" s="9"/>
      <c r="P118" s="9"/>
      <c r="Q118" s="9"/>
      <c r="R118" s="7"/>
      <c r="T118" s="5"/>
      <c r="U118" s="68"/>
      <c r="V118" s="68"/>
      <c r="W118" s="68"/>
      <c r="X118" s="68"/>
      <c r="Y118" s="68"/>
      <c r="Z118" s="68"/>
      <c r="AA118" s="68"/>
      <c r="AB118" s="68"/>
      <c r="AC118" s="68"/>
      <c r="AD118" s="68"/>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row>
    <row r="119" customFormat="false" ht="15" hidden="false" customHeight="true" outlineLevel="0" collapsed="false">
      <c r="B119" s="7"/>
      <c r="C119" s="7"/>
      <c r="D119" s="7"/>
      <c r="E119" s="7"/>
      <c r="F119" s="7"/>
      <c r="G119" s="7"/>
      <c r="H119" s="7"/>
      <c r="I119" s="7"/>
      <c r="J119" s="7"/>
      <c r="K119" s="7"/>
      <c r="L119" s="83"/>
      <c r="M119" s="7"/>
      <c r="N119" s="7"/>
      <c r="O119" s="7"/>
      <c r="P119" s="7"/>
      <c r="Q119" s="7"/>
      <c r="R119" s="7"/>
      <c r="T119" s="5"/>
      <c r="U119" s="68"/>
      <c r="V119" s="68"/>
      <c r="W119" s="68"/>
      <c r="X119" s="68"/>
      <c r="Y119" s="68"/>
      <c r="Z119" s="68"/>
      <c r="AA119" s="68"/>
      <c r="AB119" s="68"/>
      <c r="AC119" s="68"/>
      <c r="AD119" s="68"/>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row>
    <row r="120" customFormat="false" ht="15" hidden="false" customHeight="true" outlineLevel="0" collapsed="false">
      <c r="A120" s="64" t="s">
        <v>79</v>
      </c>
      <c r="B120" s="64"/>
      <c r="C120" s="64"/>
      <c r="D120" s="84"/>
      <c r="E120" s="84"/>
      <c r="F120" s="7"/>
      <c r="G120" s="7"/>
      <c r="H120" s="7"/>
      <c r="I120" s="7"/>
      <c r="J120" s="7"/>
      <c r="K120" s="7"/>
      <c r="L120" s="83"/>
      <c r="M120" s="7"/>
      <c r="N120" s="7"/>
      <c r="O120" s="7"/>
      <c r="P120" s="7"/>
      <c r="Q120" s="7"/>
      <c r="R120" s="7"/>
      <c r="T120" s="5"/>
      <c r="U120" s="68"/>
      <c r="V120" s="68"/>
      <c r="W120" s="68"/>
      <c r="X120" s="68"/>
      <c r="Y120" s="68"/>
      <c r="Z120" s="68"/>
      <c r="AA120" s="68"/>
      <c r="AB120" s="68"/>
      <c r="AC120" s="68"/>
      <c r="AD120" s="68"/>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row>
    <row r="121" customFormat="false" ht="15" hidden="false" customHeight="true" outlineLevel="0" collapsed="false">
      <c r="A121" s="64"/>
      <c r="B121" s="64"/>
      <c r="C121" s="64"/>
      <c r="D121" s="84"/>
      <c r="E121" s="84"/>
      <c r="F121" s="7"/>
      <c r="G121" s="7"/>
      <c r="H121" s="7"/>
      <c r="I121" s="7"/>
      <c r="J121" s="7"/>
      <c r="K121" s="7"/>
      <c r="L121" s="83"/>
      <c r="M121" s="7"/>
      <c r="N121" s="7"/>
      <c r="O121" s="7"/>
      <c r="P121" s="7"/>
      <c r="Q121" s="7"/>
      <c r="R121" s="7"/>
      <c r="T121" s="5"/>
      <c r="U121" s="68"/>
      <c r="V121" s="68"/>
      <c r="W121" s="68"/>
      <c r="X121" s="68"/>
      <c r="Y121" s="68"/>
      <c r="Z121" s="68"/>
      <c r="AA121" s="68"/>
      <c r="AB121" s="68"/>
      <c r="AC121" s="68"/>
      <c r="AD121" s="68"/>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row>
    <row r="122" customFormat="false" ht="15" hidden="false" customHeight="true" outlineLevel="0" collapsed="false">
      <c r="A122" s="70"/>
      <c r="B122" s="70"/>
      <c r="C122" s="70"/>
      <c r="D122" s="84"/>
      <c r="E122" s="84"/>
      <c r="F122" s="7"/>
      <c r="G122" s="7"/>
      <c r="H122" s="7"/>
      <c r="I122" s="7"/>
      <c r="J122" s="7"/>
      <c r="K122" s="7"/>
      <c r="L122" s="83"/>
      <c r="M122" s="7"/>
      <c r="N122" s="7"/>
      <c r="O122" s="7"/>
      <c r="P122" s="7"/>
      <c r="Q122" s="7"/>
      <c r="R122" s="7"/>
      <c r="T122" s="5"/>
      <c r="U122" s="68"/>
      <c r="V122" s="68"/>
      <c r="W122" s="68"/>
      <c r="X122" s="68"/>
      <c r="Y122" s="68"/>
      <c r="Z122" s="68"/>
      <c r="AA122" s="68"/>
      <c r="AB122" s="68"/>
      <c r="AC122" s="68"/>
      <c r="AD122" s="68"/>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row>
    <row r="123" customFormat="false" ht="15" hidden="false" customHeight="true" outlineLevel="0" collapsed="false">
      <c r="A123" s="85" t="s">
        <v>71</v>
      </c>
      <c r="B123" s="73"/>
      <c r="C123" s="73"/>
    </row>
    <row r="124" customFormat="false" ht="15" hidden="false" customHeight="true" outlineLevel="0" collapsed="false">
      <c r="A124" s="73" t="s">
        <v>72</v>
      </c>
      <c r="B124" s="73"/>
      <c r="C124" s="73"/>
    </row>
    <row r="125" customFormat="false" ht="15" hidden="false" customHeight="true" outlineLevel="0" collapsed="false">
      <c r="A125" s="69" t="s">
        <v>70</v>
      </c>
      <c r="B125" s="69"/>
      <c r="C125" s="69"/>
    </row>
    <row r="126" customFormat="false" ht="15" hidden="false" customHeight="true" outlineLevel="0" collapsed="false">
      <c r="A126" s="86"/>
      <c r="B126" s="86"/>
      <c r="C126" s="86"/>
    </row>
    <row r="127" customFormat="false" ht="15" hidden="false" customHeight="true" outlineLevel="0" collapsed="false">
      <c r="A127" s="8" t="s">
        <v>80</v>
      </c>
      <c r="B127" s="8"/>
      <c r="C127" s="8"/>
      <c r="D127" s="8"/>
      <c r="E127" s="8"/>
      <c r="F127" s="8"/>
      <c r="G127" s="8"/>
      <c r="H127" s="8"/>
      <c r="I127" s="8"/>
      <c r="J127" s="8"/>
      <c r="K127" s="8"/>
      <c r="L127" s="87"/>
      <c r="T127" s="5"/>
      <c r="U127" s="68"/>
      <c r="V127" s="68"/>
      <c r="W127" s="68"/>
      <c r="X127" s="68"/>
      <c r="Y127" s="68"/>
      <c r="Z127" s="68"/>
      <c r="AA127" s="68"/>
      <c r="AB127" s="68"/>
      <c r="AC127" s="68"/>
      <c r="AD127" s="68"/>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row>
    <row r="128" customFormat="false" ht="15" hidden="false" customHeight="true" outlineLevel="0" collapsed="false">
      <c r="A128" s="88" t="s">
        <v>3</v>
      </c>
      <c r="B128" s="89" t="s">
        <v>81</v>
      </c>
      <c r="C128" s="89" t="s">
        <v>5</v>
      </c>
      <c r="D128" s="89"/>
      <c r="E128" s="89" t="s">
        <v>74</v>
      </c>
      <c r="F128" s="88" t="s">
        <v>82</v>
      </c>
      <c r="G128" s="88" t="s">
        <v>9</v>
      </c>
      <c r="H128" s="88" t="s">
        <v>75</v>
      </c>
      <c r="I128" s="90" t="s">
        <v>83</v>
      </c>
      <c r="J128" s="91"/>
      <c r="K128" s="92"/>
      <c r="L128" s="90" t="s">
        <v>84</v>
      </c>
      <c r="M128" s="91"/>
      <c r="N128" s="92"/>
      <c r="O128" s="90" t="s">
        <v>85</v>
      </c>
      <c r="P128" s="91"/>
      <c r="Q128" s="92"/>
      <c r="R128" s="4" t="s">
        <v>12</v>
      </c>
      <c r="S128" s="93"/>
      <c r="T128" s="5"/>
      <c r="U128" s="68"/>
      <c r="V128" s="68"/>
      <c r="W128" s="68"/>
      <c r="X128" s="68"/>
      <c r="Y128" s="68"/>
      <c r="Z128" s="68"/>
      <c r="AA128" s="68"/>
      <c r="AB128" s="68"/>
      <c r="AC128" s="68"/>
      <c r="AD128" s="68"/>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row>
    <row r="129" customFormat="false" ht="15" hidden="false" customHeight="true" outlineLevel="0" collapsed="false">
      <c r="A129" s="88"/>
      <c r="B129" s="89"/>
      <c r="C129" s="89" t="s">
        <v>13</v>
      </c>
      <c r="D129" s="94" t="s">
        <v>14</v>
      </c>
      <c r="E129" s="89"/>
      <c r="F129" s="88"/>
      <c r="G129" s="88"/>
      <c r="H129" s="88"/>
      <c r="I129" s="88" t="s">
        <v>15</v>
      </c>
      <c r="J129" s="90" t="s">
        <v>16</v>
      </c>
      <c r="K129" s="95" t="s">
        <v>17</v>
      </c>
      <c r="L129" s="88" t="s">
        <v>15</v>
      </c>
      <c r="M129" s="90" t="s">
        <v>16</v>
      </c>
      <c r="N129" s="95" t="s">
        <v>17</v>
      </c>
      <c r="O129" s="92" t="s">
        <v>15</v>
      </c>
      <c r="P129" s="90" t="s">
        <v>16</v>
      </c>
      <c r="Q129" s="95" t="s">
        <v>17</v>
      </c>
      <c r="R129" s="4" t="s">
        <v>86</v>
      </c>
      <c r="S129" s="93"/>
      <c r="T129" s="5"/>
      <c r="U129" s="68"/>
      <c r="V129" s="68"/>
      <c r="W129" s="68"/>
      <c r="X129" s="68"/>
      <c r="Y129" s="68"/>
      <c r="Z129" s="68"/>
      <c r="AA129" s="68"/>
      <c r="AB129" s="68"/>
      <c r="AC129" s="68"/>
      <c r="AD129" s="68"/>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row>
    <row r="130" customFormat="false" ht="15" hidden="false" customHeight="true" outlineLevel="0" collapsed="false">
      <c r="A130" s="22" t="s">
        <v>19</v>
      </c>
      <c r="B130" s="23"/>
      <c r="C130" s="24"/>
      <c r="D130" s="25"/>
      <c r="E130" s="26"/>
      <c r="F130" s="96"/>
      <c r="G130" s="27"/>
      <c r="H130" s="29"/>
      <c r="I130" s="97"/>
      <c r="J130" s="98"/>
      <c r="K130" s="99" t="n">
        <f aca="false">$I$130+$J$130</f>
        <v>0</v>
      </c>
      <c r="L130" s="97"/>
      <c r="M130" s="98"/>
      <c r="N130" s="99" t="n">
        <f aca="false">$L130+$M130</f>
        <v>0</v>
      </c>
      <c r="O130" s="100"/>
      <c r="P130" s="98"/>
      <c r="Q130" s="99" t="n">
        <f aca="false">$O130+$P130</f>
        <v>0</v>
      </c>
      <c r="R130" s="4" t="str">
        <f aca="false">IF(N130-K130&lt;0,"False","OK")</f>
        <v>OK</v>
      </c>
      <c r="S130" s="93"/>
      <c r="T130" s="5"/>
      <c r="U130" s="68"/>
      <c r="V130" s="68"/>
      <c r="W130" s="68"/>
      <c r="X130" s="68"/>
      <c r="Y130" s="68"/>
      <c r="Z130" s="68"/>
      <c r="AA130" s="68"/>
      <c r="AB130" s="68"/>
      <c r="AC130" s="68"/>
      <c r="AD130" s="68"/>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row>
    <row r="131" customFormat="false" ht="15" hidden="false" customHeight="true" outlineLevel="0" collapsed="false">
      <c r="A131" s="35" t="s">
        <v>20</v>
      </c>
      <c r="B131" s="36"/>
      <c r="C131" s="37"/>
      <c r="D131" s="38"/>
      <c r="E131" s="39"/>
      <c r="F131" s="101"/>
      <c r="G131" s="40"/>
      <c r="H131" s="42"/>
      <c r="I131" s="102"/>
      <c r="J131" s="103"/>
      <c r="K131" s="104" t="n">
        <f aca="false">$I131+$J131</f>
        <v>0</v>
      </c>
      <c r="L131" s="102"/>
      <c r="M131" s="103"/>
      <c r="N131" s="104" t="n">
        <f aca="false">$L131+$M131</f>
        <v>0</v>
      </c>
      <c r="O131" s="105"/>
      <c r="P131" s="103"/>
      <c r="Q131" s="104" t="n">
        <f aca="false">$O131+$P131</f>
        <v>0</v>
      </c>
      <c r="R131" s="4" t="str">
        <f aca="false">IF(N131-K131&lt;0,"False","OK")</f>
        <v>OK</v>
      </c>
      <c r="S131" s="93"/>
      <c r="T131" s="5"/>
      <c r="U131" s="68"/>
      <c r="V131" s="68"/>
      <c r="W131" s="68"/>
      <c r="X131" s="68"/>
      <c r="Y131" s="68"/>
      <c r="Z131" s="68"/>
      <c r="AA131" s="68"/>
      <c r="AB131" s="68"/>
      <c r="AC131" s="68"/>
      <c r="AD131" s="68"/>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row>
    <row r="132" customFormat="false" ht="15" hidden="false" customHeight="true" outlineLevel="0" collapsed="false">
      <c r="A132" s="35" t="s">
        <v>21</v>
      </c>
      <c r="B132" s="36"/>
      <c r="C132" s="37"/>
      <c r="D132" s="38"/>
      <c r="E132" s="39"/>
      <c r="F132" s="101"/>
      <c r="G132" s="40"/>
      <c r="H132" s="42"/>
      <c r="I132" s="102"/>
      <c r="J132" s="103"/>
      <c r="K132" s="104" t="n">
        <f aca="false">$I132+$J132</f>
        <v>0</v>
      </c>
      <c r="L132" s="102"/>
      <c r="M132" s="103"/>
      <c r="N132" s="104" t="n">
        <f aca="false">$L132+$M132</f>
        <v>0</v>
      </c>
      <c r="O132" s="105"/>
      <c r="P132" s="103"/>
      <c r="Q132" s="104" t="n">
        <f aca="false">$O132+$P132</f>
        <v>0</v>
      </c>
      <c r="R132" s="4" t="str">
        <f aca="false">IF(N132-K132&lt;0,"False","OK")</f>
        <v>OK</v>
      </c>
      <c r="T132" s="5"/>
      <c r="U132" s="68"/>
      <c r="V132" s="68"/>
      <c r="W132" s="68"/>
      <c r="X132" s="68"/>
      <c r="Y132" s="68"/>
      <c r="Z132" s="68"/>
      <c r="AA132" s="68"/>
      <c r="AB132" s="68"/>
      <c r="AC132" s="68"/>
      <c r="AD132" s="68"/>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row>
    <row r="133" customFormat="false" ht="15" hidden="false" customHeight="true" outlineLevel="0" collapsed="false">
      <c r="A133" s="35" t="s">
        <v>22</v>
      </c>
      <c r="B133" s="36"/>
      <c r="C133" s="37"/>
      <c r="D133" s="38"/>
      <c r="E133" s="39"/>
      <c r="F133" s="101"/>
      <c r="G133" s="40"/>
      <c r="H133" s="42"/>
      <c r="I133" s="102"/>
      <c r="J133" s="103"/>
      <c r="K133" s="104" t="n">
        <f aca="false">$I133+$J133</f>
        <v>0</v>
      </c>
      <c r="L133" s="102"/>
      <c r="M133" s="103"/>
      <c r="N133" s="104" t="n">
        <f aca="false">$L133+$M133</f>
        <v>0</v>
      </c>
      <c r="O133" s="105"/>
      <c r="P133" s="103"/>
      <c r="Q133" s="104" t="n">
        <f aca="false">$O133+$P133</f>
        <v>0</v>
      </c>
      <c r="R133" s="4" t="str">
        <f aca="false">IF(N133-K133&lt;0,"False","OK")</f>
        <v>OK</v>
      </c>
      <c r="T133" s="5"/>
      <c r="U133" s="68"/>
      <c r="V133" s="68"/>
      <c r="W133" s="68"/>
      <c r="X133" s="68"/>
      <c r="Y133" s="68"/>
      <c r="Z133" s="68"/>
      <c r="AA133" s="68"/>
      <c r="AB133" s="68"/>
      <c r="AC133" s="68"/>
      <c r="AD133" s="68"/>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row>
    <row r="134" customFormat="false" ht="15" hidden="false" customHeight="true" outlineLevel="0" collapsed="false">
      <c r="A134" s="35" t="s">
        <v>23</v>
      </c>
      <c r="B134" s="36"/>
      <c r="C134" s="37"/>
      <c r="D134" s="38"/>
      <c r="E134" s="39"/>
      <c r="F134" s="101"/>
      <c r="G134" s="40"/>
      <c r="H134" s="42"/>
      <c r="I134" s="102"/>
      <c r="J134" s="103"/>
      <c r="K134" s="104" t="n">
        <f aca="false">$I134+$J134</f>
        <v>0</v>
      </c>
      <c r="L134" s="102"/>
      <c r="M134" s="103"/>
      <c r="N134" s="104" t="n">
        <f aca="false">$L134+$M134</f>
        <v>0</v>
      </c>
      <c r="O134" s="105"/>
      <c r="P134" s="103"/>
      <c r="Q134" s="104" t="n">
        <f aca="false">$O134+$P134</f>
        <v>0</v>
      </c>
      <c r="R134" s="4" t="str">
        <f aca="false">IF(N134-K134&lt;0,"False","OK")</f>
        <v>OK</v>
      </c>
      <c r="T134" s="5"/>
      <c r="U134" s="68"/>
      <c r="V134" s="68"/>
      <c r="W134" s="68"/>
      <c r="X134" s="68"/>
      <c r="Y134" s="68"/>
      <c r="Z134" s="68"/>
      <c r="AA134" s="68"/>
      <c r="AB134" s="68"/>
      <c r="AC134" s="68"/>
      <c r="AD134" s="68"/>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row>
    <row r="135" customFormat="false" ht="15" hidden="false" customHeight="true" outlineLevel="0" collapsed="false">
      <c r="A135" s="35" t="s">
        <v>24</v>
      </c>
      <c r="B135" s="36"/>
      <c r="C135" s="37"/>
      <c r="D135" s="38"/>
      <c r="E135" s="39"/>
      <c r="F135" s="101"/>
      <c r="G135" s="40"/>
      <c r="H135" s="42"/>
      <c r="I135" s="102"/>
      <c r="J135" s="103"/>
      <c r="K135" s="104" t="n">
        <f aca="false">$I135+$J135</f>
        <v>0</v>
      </c>
      <c r="L135" s="102"/>
      <c r="M135" s="103"/>
      <c r="N135" s="104" t="n">
        <f aca="false">$L135+$M135</f>
        <v>0</v>
      </c>
      <c r="O135" s="105"/>
      <c r="P135" s="103"/>
      <c r="Q135" s="104" t="n">
        <f aca="false">$O135+$P135</f>
        <v>0</v>
      </c>
      <c r="R135" s="4" t="str">
        <f aca="false">IF(N135-K135&lt;0,"False","OK")</f>
        <v>OK</v>
      </c>
      <c r="T135" s="5"/>
      <c r="U135" s="68"/>
      <c r="V135" s="68"/>
      <c r="W135" s="68"/>
      <c r="X135" s="68"/>
      <c r="Y135" s="68"/>
      <c r="Z135" s="68"/>
      <c r="AA135" s="68"/>
      <c r="AB135" s="68"/>
      <c r="AC135" s="68"/>
      <c r="AD135" s="68"/>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row>
    <row r="136" customFormat="false" ht="15" hidden="false" customHeight="true" outlineLevel="0" collapsed="false">
      <c r="A136" s="35" t="s">
        <v>25</v>
      </c>
      <c r="B136" s="36"/>
      <c r="C136" s="37"/>
      <c r="D136" s="38"/>
      <c r="E136" s="39"/>
      <c r="F136" s="101"/>
      <c r="G136" s="40"/>
      <c r="H136" s="42"/>
      <c r="I136" s="102"/>
      <c r="J136" s="103"/>
      <c r="K136" s="104" t="n">
        <f aca="false">$I136+$J136</f>
        <v>0</v>
      </c>
      <c r="L136" s="102"/>
      <c r="M136" s="103"/>
      <c r="N136" s="104" t="n">
        <f aca="false">$L136+$M136</f>
        <v>0</v>
      </c>
      <c r="O136" s="105"/>
      <c r="P136" s="103"/>
      <c r="Q136" s="104" t="n">
        <f aca="false">$O136+$P136</f>
        <v>0</v>
      </c>
      <c r="R136" s="4" t="str">
        <f aca="false">IF(N136-K136&lt;0,"False","OK")</f>
        <v>OK</v>
      </c>
      <c r="T136" s="5"/>
      <c r="U136" s="68"/>
      <c r="V136" s="68"/>
      <c r="W136" s="68"/>
      <c r="X136" s="68"/>
      <c r="Y136" s="68"/>
      <c r="Z136" s="68"/>
      <c r="AA136" s="68"/>
      <c r="AB136" s="68"/>
      <c r="AC136" s="68"/>
      <c r="AD136" s="68"/>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row>
    <row r="137" customFormat="false" ht="15" hidden="false" customHeight="true" outlineLevel="0" collapsed="false">
      <c r="A137" s="35" t="s">
        <v>26</v>
      </c>
      <c r="B137" s="36"/>
      <c r="C137" s="37"/>
      <c r="D137" s="38"/>
      <c r="E137" s="39"/>
      <c r="F137" s="101"/>
      <c r="G137" s="40"/>
      <c r="H137" s="42"/>
      <c r="I137" s="102"/>
      <c r="J137" s="103"/>
      <c r="K137" s="104" t="n">
        <f aca="false">$I137+$J137</f>
        <v>0</v>
      </c>
      <c r="L137" s="102"/>
      <c r="M137" s="103"/>
      <c r="N137" s="104" t="n">
        <f aca="false">$L137+$M137</f>
        <v>0</v>
      </c>
      <c r="O137" s="105"/>
      <c r="P137" s="103"/>
      <c r="Q137" s="104" t="n">
        <f aca="false">$O137+$P137</f>
        <v>0</v>
      </c>
      <c r="R137" s="4" t="str">
        <f aca="false">IF(N137-K137&lt;0,"False","OK")</f>
        <v>OK</v>
      </c>
      <c r="T137" s="5"/>
      <c r="U137" s="68"/>
      <c r="V137" s="68"/>
      <c r="W137" s="68"/>
      <c r="X137" s="68"/>
      <c r="Y137" s="68"/>
      <c r="Z137" s="68"/>
      <c r="AA137" s="68"/>
      <c r="AB137" s="68"/>
      <c r="AC137" s="68"/>
      <c r="AD137" s="68"/>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row>
    <row r="138" customFormat="false" ht="15" hidden="false" customHeight="true" outlineLevel="0" collapsed="false">
      <c r="A138" s="35" t="s">
        <v>27</v>
      </c>
      <c r="B138" s="36"/>
      <c r="C138" s="37"/>
      <c r="D138" s="38"/>
      <c r="E138" s="39"/>
      <c r="F138" s="101"/>
      <c r="G138" s="40"/>
      <c r="H138" s="42"/>
      <c r="I138" s="102"/>
      <c r="J138" s="103"/>
      <c r="K138" s="104" t="n">
        <f aca="false">$I138+$J138</f>
        <v>0</v>
      </c>
      <c r="L138" s="102"/>
      <c r="M138" s="103"/>
      <c r="N138" s="104" t="n">
        <f aca="false">$L138+$M138</f>
        <v>0</v>
      </c>
      <c r="O138" s="105"/>
      <c r="P138" s="103"/>
      <c r="Q138" s="104" t="n">
        <f aca="false">$O138+$P138</f>
        <v>0</v>
      </c>
      <c r="R138" s="4" t="str">
        <f aca="false">IF(N138-K138&lt;0,"False","OK")</f>
        <v>OK</v>
      </c>
      <c r="T138" s="5"/>
      <c r="U138" s="68"/>
      <c r="V138" s="68"/>
      <c r="W138" s="68"/>
      <c r="X138" s="68"/>
      <c r="Y138" s="68"/>
      <c r="Z138" s="68"/>
      <c r="AA138" s="68"/>
      <c r="AB138" s="68"/>
      <c r="AC138" s="68"/>
      <c r="AD138" s="68"/>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row>
    <row r="139" customFormat="false" ht="15" hidden="false" customHeight="true" outlineLevel="0" collapsed="false">
      <c r="A139" s="35" t="s">
        <v>28</v>
      </c>
      <c r="B139" s="36"/>
      <c r="C139" s="37"/>
      <c r="D139" s="38"/>
      <c r="E139" s="39"/>
      <c r="F139" s="101"/>
      <c r="G139" s="40"/>
      <c r="H139" s="42"/>
      <c r="I139" s="102"/>
      <c r="J139" s="103"/>
      <c r="K139" s="104" t="n">
        <f aca="false">$I139+$J139</f>
        <v>0</v>
      </c>
      <c r="L139" s="102"/>
      <c r="M139" s="103"/>
      <c r="N139" s="104" t="n">
        <f aca="false">$L139+$M139</f>
        <v>0</v>
      </c>
      <c r="O139" s="105"/>
      <c r="P139" s="103"/>
      <c r="Q139" s="104" t="n">
        <f aca="false">$O139+$P139</f>
        <v>0</v>
      </c>
      <c r="R139" s="4" t="str">
        <f aca="false">IF(N139-K139&lt;0,"False","OK")</f>
        <v>OK</v>
      </c>
      <c r="S139" s="5"/>
      <c r="T139" s="5"/>
      <c r="U139" s="68"/>
      <c r="V139" s="68"/>
      <c r="W139" s="68"/>
      <c r="X139" s="68"/>
      <c r="Y139" s="68"/>
      <c r="Z139" s="68"/>
      <c r="AA139" s="68"/>
      <c r="AB139" s="68"/>
      <c r="AC139" s="68"/>
      <c r="AD139" s="68"/>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row>
    <row r="140" customFormat="false" ht="15" hidden="false" customHeight="true" outlineLevel="0" collapsed="false">
      <c r="A140" s="35" t="s">
        <v>29</v>
      </c>
      <c r="B140" s="36"/>
      <c r="C140" s="37"/>
      <c r="D140" s="38"/>
      <c r="E140" s="39"/>
      <c r="F140" s="101"/>
      <c r="G140" s="40"/>
      <c r="H140" s="42"/>
      <c r="I140" s="102"/>
      <c r="J140" s="103"/>
      <c r="K140" s="104" t="n">
        <f aca="false">$I140+$J140</f>
        <v>0</v>
      </c>
      <c r="L140" s="102"/>
      <c r="M140" s="103"/>
      <c r="N140" s="104" t="n">
        <f aca="false">$L140+$M140</f>
        <v>0</v>
      </c>
      <c r="O140" s="105"/>
      <c r="P140" s="103"/>
      <c r="Q140" s="104" t="n">
        <f aca="false">$O140+$P140</f>
        <v>0</v>
      </c>
      <c r="R140" s="4" t="str">
        <f aca="false">IF(N140-K140&lt;0,"False","OK")</f>
        <v>OK</v>
      </c>
      <c r="S140" s="5"/>
      <c r="T140" s="5"/>
      <c r="U140" s="68"/>
      <c r="V140" s="68"/>
      <c r="W140" s="68"/>
      <c r="X140" s="68"/>
      <c r="Y140" s="68"/>
      <c r="Z140" s="68"/>
      <c r="AA140" s="68"/>
      <c r="AB140" s="68"/>
      <c r="AC140" s="68"/>
      <c r="AD140" s="68"/>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row>
    <row r="141" customFormat="false" ht="15" hidden="false" customHeight="true" outlineLevel="0" collapsed="false">
      <c r="A141" s="35" t="s">
        <v>30</v>
      </c>
      <c r="B141" s="36"/>
      <c r="C141" s="37"/>
      <c r="D141" s="38"/>
      <c r="E141" s="39"/>
      <c r="F141" s="101"/>
      <c r="G141" s="40"/>
      <c r="H141" s="42"/>
      <c r="I141" s="102"/>
      <c r="J141" s="103"/>
      <c r="K141" s="104" t="n">
        <f aca="false">$I141+$J141</f>
        <v>0</v>
      </c>
      <c r="L141" s="102"/>
      <c r="M141" s="103"/>
      <c r="N141" s="104" t="n">
        <f aca="false">$L141+$M141</f>
        <v>0</v>
      </c>
      <c r="O141" s="105"/>
      <c r="P141" s="103"/>
      <c r="Q141" s="104" t="n">
        <f aca="false">$O141+$P141</f>
        <v>0</v>
      </c>
      <c r="R141" s="4" t="str">
        <f aca="false">IF(N141-K141&lt;0,"False","OK")</f>
        <v>OK</v>
      </c>
      <c r="S141" s="5"/>
      <c r="T141" s="5"/>
      <c r="U141" s="68"/>
      <c r="V141" s="68"/>
      <c r="W141" s="68"/>
      <c r="X141" s="68"/>
      <c r="Y141" s="68"/>
      <c r="Z141" s="68"/>
      <c r="AA141" s="68"/>
      <c r="AB141" s="68"/>
      <c r="AC141" s="68"/>
      <c r="AD141" s="68"/>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row>
    <row r="142" customFormat="false" ht="15" hidden="false" customHeight="true" outlineLevel="0" collapsed="false">
      <c r="A142" s="35" t="s">
        <v>31</v>
      </c>
      <c r="B142" s="36"/>
      <c r="C142" s="37"/>
      <c r="D142" s="38"/>
      <c r="E142" s="39"/>
      <c r="F142" s="101"/>
      <c r="G142" s="40"/>
      <c r="H142" s="42"/>
      <c r="I142" s="102"/>
      <c r="J142" s="103"/>
      <c r="K142" s="104" t="n">
        <f aca="false">$I142+$J142</f>
        <v>0</v>
      </c>
      <c r="L142" s="102"/>
      <c r="M142" s="103"/>
      <c r="N142" s="104" t="n">
        <f aca="false">$L142+$M142</f>
        <v>0</v>
      </c>
      <c r="O142" s="105"/>
      <c r="P142" s="103"/>
      <c r="Q142" s="104" t="n">
        <f aca="false">$O142+$P142</f>
        <v>0</v>
      </c>
      <c r="R142" s="4" t="str">
        <f aca="false">IF(N142-K142&lt;0,"False","OK")</f>
        <v>OK</v>
      </c>
      <c r="S142" s="5"/>
      <c r="T142" s="5"/>
      <c r="U142" s="68"/>
      <c r="V142" s="68"/>
      <c r="W142" s="68"/>
      <c r="X142" s="68"/>
      <c r="Y142" s="68"/>
      <c r="Z142" s="68"/>
      <c r="AA142" s="68"/>
      <c r="AB142" s="68"/>
      <c r="AC142" s="68"/>
      <c r="AD142" s="68"/>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row>
    <row r="143" customFormat="false" ht="15" hidden="false" customHeight="true" outlineLevel="0" collapsed="false">
      <c r="A143" s="35" t="s">
        <v>32</v>
      </c>
      <c r="B143" s="36"/>
      <c r="C143" s="37"/>
      <c r="D143" s="38"/>
      <c r="E143" s="39"/>
      <c r="F143" s="101"/>
      <c r="G143" s="40"/>
      <c r="H143" s="42"/>
      <c r="I143" s="102"/>
      <c r="J143" s="103"/>
      <c r="K143" s="104" t="n">
        <f aca="false">$I143+$J143</f>
        <v>0</v>
      </c>
      <c r="L143" s="102"/>
      <c r="M143" s="103"/>
      <c r="N143" s="104" t="n">
        <f aca="false">$L143+$M143</f>
        <v>0</v>
      </c>
      <c r="O143" s="105"/>
      <c r="P143" s="103"/>
      <c r="Q143" s="104" t="n">
        <f aca="false">$O143+$P143</f>
        <v>0</v>
      </c>
      <c r="R143" s="4" t="str">
        <f aca="false">IF(N143-K143&lt;0,"False","OK")</f>
        <v>OK</v>
      </c>
      <c r="S143" s="5"/>
      <c r="T143" s="5"/>
      <c r="U143" s="68"/>
      <c r="V143" s="68"/>
      <c r="W143" s="68"/>
      <c r="X143" s="68"/>
      <c r="Y143" s="68"/>
      <c r="Z143" s="68"/>
      <c r="AA143" s="68"/>
      <c r="AB143" s="68"/>
      <c r="AC143" s="68"/>
      <c r="AD143" s="68"/>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row>
    <row r="144" customFormat="false" ht="15" hidden="false" customHeight="true" outlineLevel="0" collapsed="false">
      <c r="A144" s="35" t="s">
        <v>33</v>
      </c>
      <c r="B144" s="36"/>
      <c r="C144" s="37"/>
      <c r="D144" s="38"/>
      <c r="E144" s="39"/>
      <c r="F144" s="101"/>
      <c r="G144" s="40"/>
      <c r="H144" s="42"/>
      <c r="I144" s="102"/>
      <c r="J144" s="103"/>
      <c r="K144" s="104" t="n">
        <f aca="false">$I144+$J144</f>
        <v>0</v>
      </c>
      <c r="L144" s="102"/>
      <c r="M144" s="103"/>
      <c r="N144" s="104" t="n">
        <f aca="false">$L144+$M144</f>
        <v>0</v>
      </c>
      <c r="O144" s="105"/>
      <c r="P144" s="103"/>
      <c r="Q144" s="104" t="n">
        <f aca="false">$O144+$P144</f>
        <v>0</v>
      </c>
      <c r="R144" s="4" t="str">
        <f aca="false">IF(N144-K144&lt;0,"False","OK")</f>
        <v>OK</v>
      </c>
      <c r="S144" s="5"/>
      <c r="T144" s="5"/>
      <c r="U144" s="68"/>
      <c r="V144" s="68"/>
      <c r="W144" s="68"/>
      <c r="X144" s="68"/>
      <c r="Y144" s="68"/>
      <c r="Z144" s="68"/>
      <c r="AA144" s="68"/>
      <c r="AB144" s="68"/>
      <c r="AC144" s="68"/>
      <c r="AD144" s="68"/>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row>
    <row r="145" customFormat="false" ht="15" hidden="false" customHeight="true" outlineLevel="0" collapsed="false">
      <c r="A145" s="35" t="s">
        <v>34</v>
      </c>
      <c r="B145" s="36"/>
      <c r="C145" s="37"/>
      <c r="D145" s="38"/>
      <c r="E145" s="39"/>
      <c r="F145" s="101"/>
      <c r="G145" s="40"/>
      <c r="H145" s="42"/>
      <c r="I145" s="102"/>
      <c r="J145" s="103"/>
      <c r="K145" s="104" t="n">
        <f aca="false">$I145+$J145</f>
        <v>0</v>
      </c>
      <c r="L145" s="102"/>
      <c r="M145" s="103"/>
      <c r="N145" s="104" t="n">
        <f aca="false">$L145+$M145</f>
        <v>0</v>
      </c>
      <c r="O145" s="105"/>
      <c r="P145" s="103"/>
      <c r="Q145" s="104" t="n">
        <f aca="false">$O145+$P145</f>
        <v>0</v>
      </c>
      <c r="R145" s="4" t="str">
        <f aca="false">IF(N145-K145&lt;0,"False","OK")</f>
        <v>OK</v>
      </c>
      <c r="S145" s="5"/>
      <c r="T145" s="5"/>
      <c r="U145" s="68"/>
      <c r="V145" s="68"/>
      <c r="W145" s="68"/>
      <c r="X145" s="68"/>
      <c r="Y145" s="68"/>
      <c r="Z145" s="68"/>
      <c r="AA145" s="68"/>
      <c r="AB145" s="68"/>
      <c r="AC145" s="68"/>
      <c r="AD145" s="68"/>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row>
    <row r="146" customFormat="false" ht="15" hidden="false" customHeight="true" outlineLevel="0" collapsed="false">
      <c r="A146" s="35" t="s">
        <v>35</v>
      </c>
      <c r="B146" s="46"/>
      <c r="C146" s="37"/>
      <c r="D146" s="38"/>
      <c r="E146" s="39"/>
      <c r="F146" s="101"/>
      <c r="G146" s="40"/>
      <c r="H146" s="42"/>
      <c r="I146" s="102"/>
      <c r="J146" s="103"/>
      <c r="K146" s="104" t="n">
        <f aca="false">$I146+$J146</f>
        <v>0</v>
      </c>
      <c r="L146" s="102"/>
      <c r="M146" s="103"/>
      <c r="N146" s="104" t="n">
        <f aca="false">$L146+$M146</f>
        <v>0</v>
      </c>
      <c r="O146" s="105"/>
      <c r="P146" s="103"/>
      <c r="Q146" s="104" t="n">
        <f aca="false">$O146+$P146</f>
        <v>0</v>
      </c>
      <c r="R146" s="4" t="str">
        <f aca="false">IF(N146-K146&lt;0,"False","OK")</f>
        <v>OK</v>
      </c>
      <c r="S146" s="5"/>
      <c r="T146" s="5"/>
      <c r="U146" s="68"/>
      <c r="V146" s="68"/>
      <c r="W146" s="68"/>
      <c r="X146" s="68"/>
      <c r="Y146" s="68"/>
      <c r="Z146" s="68"/>
      <c r="AA146" s="68"/>
      <c r="AB146" s="68"/>
      <c r="AC146" s="68"/>
      <c r="AD146" s="68"/>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row>
    <row r="147" customFormat="false" ht="15" hidden="false" customHeight="true" outlineLevel="0" collapsed="false">
      <c r="A147" s="35" t="s">
        <v>36</v>
      </c>
      <c r="B147" s="46"/>
      <c r="C147" s="37"/>
      <c r="D147" s="38"/>
      <c r="E147" s="39"/>
      <c r="F147" s="101"/>
      <c r="G147" s="40"/>
      <c r="H147" s="42"/>
      <c r="I147" s="102"/>
      <c r="J147" s="103"/>
      <c r="K147" s="104" t="n">
        <f aca="false">$I147+$J147</f>
        <v>0</v>
      </c>
      <c r="L147" s="102"/>
      <c r="M147" s="103"/>
      <c r="N147" s="104" t="n">
        <f aca="false">$L147+$M147</f>
        <v>0</v>
      </c>
      <c r="O147" s="105"/>
      <c r="P147" s="103"/>
      <c r="Q147" s="104" t="n">
        <f aca="false">$O147+$P147</f>
        <v>0</v>
      </c>
      <c r="R147" s="4" t="str">
        <f aca="false">IF(N147-K147&lt;0,"False","OK")</f>
        <v>OK</v>
      </c>
      <c r="S147" s="5"/>
      <c r="T147" s="5"/>
      <c r="U147" s="68"/>
      <c r="V147" s="68"/>
      <c r="W147" s="68"/>
      <c r="X147" s="68"/>
      <c r="Y147" s="68"/>
      <c r="Z147" s="68"/>
      <c r="AA147" s="68"/>
      <c r="AB147" s="68"/>
      <c r="AC147" s="68"/>
      <c r="AD147" s="68"/>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row>
    <row r="148" customFormat="false" ht="15" hidden="false" customHeight="true" outlineLevel="0" collapsed="false">
      <c r="A148" s="35" t="s">
        <v>37</v>
      </c>
      <c r="B148" s="46"/>
      <c r="C148" s="37"/>
      <c r="D148" s="38"/>
      <c r="E148" s="39"/>
      <c r="F148" s="101"/>
      <c r="G148" s="40"/>
      <c r="H148" s="42"/>
      <c r="I148" s="102"/>
      <c r="J148" s="103"/>
      <c r="K148" s="104" t="n">
        <f aca="false">$I148+$J148</f>
        <v>0</v>
      </c>
      <c r="L148" s="102"/>
      <c r="M148" s="103"/>
      <c r="N148" s="104" t="n">
        <f aca="false">$L148+$M148</f>
        <v>0</v>
      </c>
      <c r="O148" s="105"/>
      <c r="P148" s="103"/>
      <c r="Q148" s="104" t="n">
        <f aca="false">$O148+$P148</f>
        <v>0</v>
      </c>
      <c r="R148" s="4" t="str">
        <f aca="false">IF(N148-K148&lt;0,"False","OK")</f>
        <v>OK</v>
      </c>
      <c r="S148" s="5"/>
      <c r="T148" s="5"/>
      <c r="U148" s="68"/>
      <c r="V148" s="68"/>
      <c r="W148" s="68"/>
      <c r="X148" s="68"/>
      <c r="Y148" s="68"/>
      <c r="Z148" s="68"/>
      <c r="AA148" s="68"/>
      <c r="AB148" s="68"/>
      <c r="AC148" s="68"/>
      <c r="AD148" s="68"/>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row>
    <row r="149" customFormat="false" ht="15" hidden="false" customHeight="true" outlineLevel="0" collapsed="false">
      <c r="A149" s="35" t="s">
        <v>38</v>
      </c>
      <c r="B149" s="46"/>
      <c r="C149" s="37"/>
      <c r="D149" s="38"/>
      <c r="E149" s="39"/>
      <c r="F149" s="101"/>
      <c r="G149" s="40"/>
      <c r="H149" s="42"/>
      <c r="I149" s="102"/>
      <c r="J149" s="103"/>
      <c r="K149" s="104" t="n">
        <f aca="false">$I149+$J149</f>
        <v>0</v>
      </c>
      <c r="L149" s="102"/>
      <c r="M149" s="103"/>
      <c r="N149" s="104" t="n">
        <f aca="false">$L149+$M149</f>
        <v>0</v>
      </c>
      <c r="O149" s="105"/>
      <c r="P149" s="103"/>
      <c r="Q149" s="104" t="n">
        <f aca="false">$O149+$P149</f>
        <v>0</v>
      </c>
      <c r="R149" s="4" t="str">
        <f aca="false">IF(N149-K149&lt;0,"False","OK")</f>
        <v>OK</v>
      </c>
      <c r="S149" s="5"/>
      <c r="T149" s="5"/>
      <c r="U149" s="68"/>
      <c r="V149" s="68"/>
      <c r="W149" s="68"/>
      <c r="X149" s="68"/>
      <c r="Y149" s="68"/>
      <c r="Z149" s="68"/>
      <c r="AA149" s="68"/>
      <c r="AB149" s="68"/>
      <c r="AC149" s="68"/>
      <c r="AD149" s="68"/>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row>
    <row r="150" customFormat="false" ht="15" hidden="false" customHeight="true" outlineLevel="0" collapsed="false">
      <c r="A150" s="35" t="s">
        <v>39</v>
      </c>
      <c r="B150" s="46"/>
      <c r="C150" s="37"/>
      <c r="D150" s="38"/>
      <c r="E150" s="39"/>
      <c r="F150" s="101"/>
      <c r="G150" s="40"/>
      <c r="H150" s="42"/>
      <c r="I150" s="102"/>
      <c r="J150" s="103"/>
      <c r="K150" s="104" t="n">
        <f aca="false">$I150+$J150</f>
        <v>0</v>
      </c>
      <c r="L150" s="102"/>
      <c r="M150" s="103"/>
      <c r="N150" s="104" t="n">
        <f aca="false">$L150+$M150</f>
        <v>0</v>
      </c>
      <c r="O150" s="105"/>
      <c r="P150" s="103"/>
      <c r="Q150" s="104" t="n">
        <f aca="false">$O150+$P150</f>
        <v>0</v>
      </c>
      <c r="R150" s="4" t="str">
        <f aca="false">IF(N150-K150&lt;0,"False","OK")</f>
        <v>OK</v>
      </c>
      <c r="S150" s="5"/>
      <c r="T150" s="5"/>
      <c r="U150" s="68"/>
      <c r="V150" s="68"/>
      <c r="W150" s="68"/>
      <c r="X150" s="68"/>
      <c r="Y150" s="68"/>
      <c r="Z150" s="68"/>
      <c r="AA150" s="68"/>
      <c r="AB150" s="68"/>
      <c r="AC150" s="68"/>
      <c r="AD150" s="68"/>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row>
    <row r="151" customFormat="false" ht="15" hidden="false" customHeight="true" outlineLevel="0" collapsed="false">
      <c r="A151" s="35" t="s">
        <v>40</v>
      </c>
      <c r="B151" s="46"/>
      <c r="C151" s="37"/>
      <c r="D151" s="38"/>
      <c r="E151" s="39"/>
      <c r="F151" s="101"/>
      <c r="G151" s="40"/>
      <c r="H151" s="42"/>
      <c r="I151" s="102"/>
      <c r="J151" s="103"/>
      <c r="K151" s="104" t="n">
        <f aca="false">$I151+$J151</f>
        <v>0</v>
      </c>
      <c r="L151" s="102"/>
      <c r="M151" s="103"/>
      <c r="N151" s="104" t="n">
        <f aca="false">$L151+$M151</f>
        <v>0</v>
      </c>
      <c r="O151" s="105"/>
      <c r="P151" s="103"/>
      <c r="Q151" s="104" t="n">
        <f aca="false">$O151+$P151</f>
        <v>0</v>
      </c>
      <c r="R151" s="4" t="str">
        <f aca="false">IF(N151-K151&lt;0,"False","OK")</f>
        <v>OK</v>
      </c>
      <c r="S151" s="5"/>
      <c r="T151" s="5"/>
      <c r="U151" s="68"/>
      <c r="V151" s="68"/>
      <c r="W151" s="68"/>
      <c r="X151" s="68"/>
      <c r="Y151" s="68"/>
      <c r="Z151" s="68"/>
      <c r="AA151" s="68"/>
      <c r="AB151" s="68"/>
      <c r="AC151" s="68"/>
      <c r="AD151" s="68"/>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row>
    <row r="152" customFormat="false" ht="15" hidden="false" customHeight="true" outlineLevel="0" collapsed="false">
      <c r="A152" s="35" t="s">
        <v>41</v>
      </c>
      <c r="B152" s="46"/>
      <c r="C152" s="37"/>
      <c r="D152" s="38"/>
      <c r="E152" s="39"/>
      <c r="F152" s="101"/>
      <c r="G152" s="40"/>
      <c r="H152" s="42"/>
      <c r="I152" s="102"/>
      <c r="J152" s="103"/>
      <c r="K152" s="104" t="n">
        <f aca="false">$I152+$J152</f>
        <v>0</v>
      </c>
      <c r="L152" s="102"/>
      <c r="M152" s="103"/>
      <c r="N152" s="104" t="n">
        <f aca="false">$L152+$M152</f>
        <v>0</v>
      </c>
      <c r="O152" s="105"/>
      <c r="P152" s="103"/>
      <c r="Q152" s="104" t="n">
        <f aca="false">$O152+$P152</f>
        <v>0</v>
      </c>
      <c r="R152" s="4" t="str">
        <f aca="false">IF(N152-K152&lt;0,"False","OK")</f>
        <v>OK</v>
      </c>
      <c r="S152" s="5"/>
      <c r="T152" s="5"/>
      <c r="U152" s="68"/>
      <c r="V152" s="68"/>
      <c r="W152" s="68"/>
      <c r="X152" s="68"/>
      <c r="Y152" s="68"/>
      <c r="Z152" s="68"/>
      <c r="AA152" s="68"/>
      <c r="AB152" s="68"/>
      <c r="AC152" s="68"/>
      <c r="AD152" s="68"/>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row>
    <row r="153" customFormat="false" ht="15" hidden="false" customHeight="true" outlineLevel="0" collapsed="false">
      <c r="A153" s="35" t="s">
        <v>42</v>
      </c>
      <c r="B153" s="46"/>
      <c r="C153" s="37"/>
      <c r="D153" s="38"/>
      <c r="E153" s="39"/>
      <c r="F153" s="101"/>
      <c r="G153" s="40"/>
      <c r="H153" s="42"/>
      <c r="I153" s="102"/>
      <c r="J153" s="103"/>
      <c r="K153" s="104" t="n">
        <f aca="false">$I153+$J153</f>
        <v>0</v>
      </c>
      <c r="L153" s="102"/>
      <c r="M153" s="103"/>
      <c r="N153" s="104" t="n">
        <f aca="false">$L153+$M153</f>
        <v>0</v>
      </c>
      <c r="O153" s="105"/>
      <c r="P153" s="103"/>
      <c r="Q153" s="104" t="n">
        <f aca="false">$O153+$P153</f>
        <v>0</v>
      </c>
      <c r="R153" s="4" t="str">
        <f aca="false">IF(N153-K153&lt;0,"False","OK")</f>
        <v>OK</v>
      </c>
      <c r="S153" s="5"/>
      <c r="T153" s="5"/>
      <c r="U153" s="68"/>
      <c r="V153" s="68"/>
      <c r="W153" s="68"/>
      <c r="X153" s="68"/>
      <c r="Y153" s="68"/>
      <c r="Z153" s="68"/>
      <c r="AA153" s="68"/>
      <c r="AB153" s="68"/>
      <c r="AC153" s="68"/>
      <c r="AD153" s="68"/>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row>
    <row r="154" customFormat="false" ht="15" hidden="false" customHeight="true" outlineLevel="0" collapsed="false">
      <c r="A154" s="35" t="s">
        <v>43</v>
      </c>
      <c r="B154" s="46"/>
      <c r="C154" s="37"/>
      <c r="D154" s="38"/>
      <c r="E154" s="39"/>
      <c r="F154" s="101"/>
      <c r="G154" s="40"/>
      <c r="H154" s="42"/>
      <c r="I154" s="102"/>
      <c r="J154" s="103"/>
      <c r="K154" s="104" t="n">
        <f aca="false">$I154+$J154</f>
        <v>0</v>
      </c>
      <c r="L154" s="102"/>
      <c r="M154" s="103"/>
      <c r="N154" s="104" t="n">
        <f aca="false">$L154+$M154</f>
        <v>0</v>
      </c>
      <c r="O154" s="105"/>
      <c r="P154" s="103"/>
      <c r="Q154" s="104" t="n">
        <f aca="false">$O154+$P154</f>
        <v>0</v>
      </c>
      <c r="R154" s="4" t="str">
        <f aca="false">IF(N154-K154&lt;0,"False","OK")</f>
        <v>OK</v>
      </c>
      <c r="S154" s="5"/>
      <c r="T154" s="5"/>
      <c r="U154" s="68"/>
      <c r="V154" s="68"/>
      <c r="W154" s="68"/>
      <c r="X154" s="68"/>
      <c r="Y154" s="68"/>
      <c r="Z154" s="68"/>
      <c r="AA154" s="68"/>
      <c r="AB154" s="68"/>
      <c r="AC154" s="68"/>
      <c r="AD154" s="68"/>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row>
    <row r="155" customFormat="false" ht="15" hidden="false" customHeight="true" outlineLevel="0" collapsed="false">
      <c r="A155" s="35" t="s">
        <v>44</v>
      </c>
      <c r="B155" s="46"/>
      <c r="C155" s="37"/>
      <c r="D155" s="38"/>
      <c r="E155" s="39"/>
      <c r="F155" s="101"/>
      <c r="G155" s="40"/>
      <c r="H155" s="42"/>
      <c r="I155" s="102"/>
      <c r="J155" s="103"/>
      <c r="K155" s="104" t="n">
        <f aca="false">$I155+$J155</f>
        <v>0</v>
      </c>
      <c r="L155" s="102"/>
      <c r="M155" s="103"/>
      <c r="N155" s="104" t="n">
        <f aca="false">$L155+$M155</f>
        <v>0</v>
      </c>
      <c r="O155" s="105"/>
      <c r="P155" s="103"/>
      <c r="Q155" s="104" t="n">
        <f aca="false">$O155+$P155</f>
        <v>0</v>
      </c>
      <c r="R155" s="4" t="str">
        <f aca="false">IF(N155-K155&lt;0,"False","OK")</f>
        <v>OK</v>
      </c>
      <c r="S155" s="5"/>
      <c r="T155" s="5"/>
      <c r="U155" s="68"/>
      <c r="V155" s="68"/>
      <c r="W155" s="68"/>
      <c r="X155" s="68"/>
      <c r="Y155" s="68"/>
      <c r="Z155" s="68"/>
      <c r="AA155" s="68"/>
      <c r="AB155" s="68"/>
      <c r="AC155" s="68"/>
      <c r="AD155" s="68"/>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row>
    <row r="156" customFormat="false" ht="15" hidden="false" customHeight="true" outlineLevel="0" collapsed="false">
      <c r="A156" s="35" t="s">
        <v>45</v>
      </c>
      <c r="B156" s="46"/>
      <c r="C156" s="37"/>
      <c r="D156" s="38"/>
      <c r="E156" s="39"/>
      <c r="F156" s="101"/>
      <c r="G156" s="40"/>
      <c r="H156" s="42"/>
      <c r="I156" s="102"/>
      <c r="J156" s="103"/>
      <c r="K156" s="104" t="n">
        <f aca="false">$I156+$J156</f>
        <v>0</v>
      </c>
      <c r="L156" s="102"/>
      <c r="M156" s="103"/>
      <c r="N156" s="104" t="n">
        <f aca="false">$L156+$M156</f>
        <v>0</v>
      </c>
      <c r="O156" s="105"/>
      <c r="P156" s="103"/>
      <c r="Q156" s="104" t="n">
        <f aca="false">$O156+$P156</f>
        <v>0</v>
      </c>
      <c r="R156" s="4" t="str">
        <f aca="false">IF(N156-K156&lt;0,"False","OK")</f>
        <v>OK</v>
      </c>
      <c r="S156" s="5"/>
      <c r="T156" s="5"/>
      <c r="U156" s="68"/>
      <c r="V156" s="68"/>
      <c r="W156" s="68"/>
      <c r="X156" s="68"/>
      <c r="Y156" s="68"/>
      <c r="Z156" s="68"/>
      <c r="AA156" s="68"/>
      <c r="AB156" s="68"/>
      <c r="AC156" s="68"/>
      <c r="AD156" s="68"/>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row>
    <row r="157" customFormat="false" ht="15" hidden="false" customHeight="true" outlineLevel="0" collapsed="false">
      <c r="A157" s="35" t="s">
        <v>46</v>
      </c>
      <c r="B157" s="46"/>
      <c r="C157" s="37"/>
      <c r="D157" s="38"/>
      <c r="E157" s="39"/>
      <c r="F157" s="101"/>
      <c r="G157" s="40"/>
      <c r="H157" s="42"/>
      <c r="I157" s="102"/>
      <c r="J157" s="103"/>
      <c r="K157" s="104" t="n">
        <f aca="false">$I157+$J157</f>
        <v>0</v>
      </c>
      <c r="L157" s="102"/>
      <c r="M157" s="103"/>
      <c r="N157" s="104" t="n">
        <f aca="false">$L157+$M157</f>
        <v>0</v>
      </c>
      <c r="O157" s="105"/>
      <c r="P157" s="103"/>
      <c r="Q157" s="104" t="n">
        <f aca="false">$O157+$P157</f>
        <v>0</v>
      </c>
      <c r="R157" s="4" t="str">
        <f aca="false">IF(N157-K157&lt;0,"False","OK")</f>
        <v>OK</v>
      </c>
      <c r="S157" s="5"/>
      <c r="T157" s="5"/>
      <c r="U157" s="68"/>
      <c r="V157" s="68"/>
      <c r="W157" s="68"/>
      <c r="X157" s="68"/>
      <c r="Y157" s="68"/>
      <c r="Z157" s="68"/>
      <c r="AA157" s="68"/>
      <c r="AB157" s="68"/>
      <c r="AC157" s="68"/>
      <c r="AD157" s="68"/>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row>
    <row r="158" customFormat="false" ht="15" hidden="false" customHeight="true" outlineLevel="0" collapsed="false">
      <c r="A158" s="35" t="s">
        <v>47</v>
      </c>
      <c r="B158" s="46"/>
      <c r="C158" s="37"/>
      <c r="D158" s="38"/>
      <c r="E158" s="39"/>
      <c r="F158" s="101"/>
      <c r="G158" s="40"/>
      <c r="H158" s="42"/>
      <c r="I158" s="102"/>
      <c r="J158" s="103"/>
      <c r="K158" s="104" t="n">
        <f aca="false">$I158+$J158</f>
        <v>0</v>
      </c>
      <c r="L158" s="102"/>
      <c r="M158" s="103"/>
      <c r="N158" s="104" t="n">
        <f aca="false">$L158+$M158</f>
        <v>0</v>
      </c>
      <c r="O158" s="105"/>
      <c r="P158" s="103"/>
      <c r="Q158" s="104" t="n">
        <f aca="false">$O158+$P158</f>
        <v>0</v>
      </c>
      <c r="R158" s="4" t="str">
        <f aca="false">IF(N158-K158&lt;0,"False","OK")</f>
        <v>OK</v>
      </c>
      <c r="S158" s="5"/>
      <c r="T158" s="5"/>
      <c r="U158" s="68"/>
      <c r="V158" s="68"/>
      <c r="W158" s="68"/>
      <c r="X158" s="68"/>
      <c r="Y158" s="68"/>
      <c r="Z158" s="68"/>
      <c r="AA158" s="68"/>
      <c r="AB158" s="68"/>
      <c r="AC158" s="68"/>
      <c r="AD158" s="68"/>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row>
    <row r="159" customFormat="false" ht="15" hidden="false" customHeight="true" outlineLevel="0" collapsed="false">
      <c r="A159" s="35" t="s">
        <v>48</v>
      </c>
      <c r="B159" s="46"/>
      <c r="C159" s="37"/>
      <c r="D159" s="38"/>
      <c r="E159" s="39"/>
      <c r="F159" s="101"/>
      <c r="G159" s="40"/>
      <c r="H159" s="42"/>
      <c r="I159" s="102"/>
      <c r="J159" s="103"/>
      <c r="K159" s="104" t="n">
        <f aca="false">$I159+$J159</f>
        <v>0</v>
      </c>
      <c r="L159" s="102"/>
      <c r="M159" s="103"/>
      <c r="N159" s="104" t="n">
        <f aca="false">$L159+$M159</f>
        <v>0</v>
      </c>
      <c r="O159" s="105"/>
      <c r="P159" s="103"/>
      <c r="Q159" s="104" t="n">
        <f aca="false">$O159+$P159</f>
        <v>0</v>
      </c>
      <c r="R159" s="4" t="str">
        <f aca="false">IF(N159-K159&lt;0,"False","OK")</f>
        <v>OK</v>
      </c>
      <c r="S159" s="5"/>
      <c r="T159" s="5"/>
      <c r="U159" s="68"/>
      <c r="V159" s="68"/>
      <c r="W159" s="68"/>
      <c r="X159" s="68"/>
      <c r="Y159" s="68"/>
      <c r="Z159" s="68"/>
      <c r="AA159" s="68"/>
      <c r="AB159" s="68"/>
      <c r="AC159" s="68"/>
      <c r="AD159" s="68"/>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row>
    <row r="160" customFormat="false" ht="15" hidden="false" customHeight="true" outlineLevel="0" collapsed="false">
      <c r="A160" s="35" t="s">
        <v>49</v>
      </c>
      <c r="B160" s="46"/>
      <c r="C160" s="37"/>
      <c r="D160" s="38"/>
      <c r="E160" s="39"/>
      <c r="F160" s="101"/>
      <c r="G160" s="40"/>
      <c r="H160" s="42"/>
      <c r="I160" s="102"/>
      <c r="J160" s="103"/>
      <c r="K160" s="104" t="n">
        <f aca="false">$I160+$J160</f>
        <v>0</v>
      </c>
      <c r="L160" s="102"/>
      <c r="M160" s="103"/>
      <c r="N160" s="104" t="n">
        <f aca="false">$L160+$M160</f>
        <v>0</v>
      </c>
      <c r="O160" s="105"/>
      <c r="P160" s="103"/>
      <c r="Q160" s="104" t="n">
        <f aca="false">$O160+$P160</f>
        <v>0</v>
      </c>
      <c r="R160" s="4" t="str">
        <f aca="false">IF(N160-K160&lt;0,"False","OK")</f>
        <v>OK</v>
      </c>
      <c r="S160" s="5"/>
      <c r="T160" s="5"/>
      <c r="U160" s="68"/>
      <c r="V160" s="68"/>
      <c r="W160" s="68"/>
      <c r="X160" s="68"/>
      <c r="Y160" s="68"/>
      <c r="Z160" s="68"/>
      <c r="AA160" s="68"/>
      <c r="AB160" s="68"/>
      <c r="AC160" s="68"/>
      <c r="AD160" s="68"/>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row>
    <row r="161" customFormat="false" ht="15" hidden="false" customHeight="true" outlineLevel="0" collapsed="false">
      <c r="A161" s="35" t="s">
        <v>50</v>
      </c>
      <c r="B161" s="46"/>
      <c r="C161" s="37"/>
      <c r="D161" s="38"/>
      <c r="E161" s="39"/>
      <c r="F161" s="101"/>
      <c r="G161" s="40"/>
      <c r="H161" s="42"/>
      <c r="I161" s="102"/>
      <c r="J161" s="103"/>
      <c r="K161" s="104" t="n">
        <f aca="false">$I161+$J161</f>
        <v>0</v>
      </c>
      <c r="L161" s="102"/>
      <c r="M161" s="103"/>
      <c r="N161" s="104" t="n">
        <f aca="false">$L161+$M161</f>
        <v>0</v>
      </c>
      <c r="O161" s="105"/>
      <c r="P161" s="103"/>
      <c r="Q161" s="104" t="n">
        <f aca="false">$O161+$P161</f>
        <v>0</v>
      </c>
      <c r="R161" s="4" t="str">
        <f aca="false">IF(N161-K161&lt;0,"False","OK")</f>
        <v>OK</v>
      </c>
      <c r="S161" s="5"/>
      <c r="T161" s="5"/>
      <c r="U161" s="68"/>
      <c r="V161" s="68"/>
      <c r="W161" s="68"/>
      <c r="X161" s="68"/>
      <c r="Y161" s="68"/>
      <c r="Z161" s="68"/>
      <c r="AA161" s="68"/>
      <c r="AB161" s="68"/>
      <c r="AC161" s="68"/>
      <c r="AD161" s="68"/>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row>
    <row r="162" customFormat="false" ht="15" hidden="false" customHeight="true" outlineLevel="0" collapsed="false">
      <c r="A162" s="35" t="s">
        <v>51</v>
      </c>
      <c r="B162" s="46"/>
      <c r="C162" s="37"/>
      <c r="D162" s="38"/>
      <c r="E162" s="39"/>
      <c r="F162" s="101"/>
      <c r="G162" s="40"/>
      <c r="H162" s="42"/>
      <c r="I162" s="102"/>
      <c r="J162" s="103"/>
      <c r="K162" s="104" t="n">
        <f aca="false">$I162+$J162</f>
        <v>0</v>
      </c>
      <c r="L162" s="102"/>
      <c r="M162" s="103"/>
      <c r="N162" s="104" t="n">
        <f aca="false">$L162+$M162</f>
        <v>0</v>
      </c>
      <c r="O162" s="105"/>
      <c r="P162" s="103"/>
      <c r="Q162" s="104" t="n">
        <f aca="false">$O162+$P162</f>
        <v>0</v>
      </c>
      <c r="R162" s="4" t="str">
        <f aca="false">IF(N162-K162&lt;0,"False","OK")</f>
        <v>OK</v>
      </c>
      <c r="S162" s="5"/>
      <c r="T162" s="5"/>
      <c r="U162" s="68"/>
      <c r="V162" s="68"/>
      <c r="W162" s="68"/>
      <c r="X162" s="68"/>
      <c r="Y162" s="68"/>
      <c r="Z162" s="68"/>
      <c r="AA162" s="68"/>
      <c r="AB162" s="68"/>
      <c r="AC162" s="68"/>
      <c r="AD162" s="68"/>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row>
    <row r="163" customFormat="false" ht="15" hidden="false" customHeight="true" outlineLevel="0" collapsed="false">
      <c r="A163" s="35" t="s">
        <v>52</v>
      </c>
      <c r="B163" s="46"/>
      <c r="C163" s="37"/>
      <c r="D163" s="38"/>
      <c r="E163" s="39"/>
      <c r="F163" s="101"/>
      <c r="G163" s="40"/>
      <c r="H163" s="42"/>
      <c r="I163" s="102"/>
      <c r="J163" s="103"/>
      <c r="K163" s="104" t="n">
        <f aca="false">$I163+$J163</f>
        <v>0</v>
      </c>
      <c r="L163" s="102"/>
      <c r="M163" s="103"/>
      <c r="N163" s="104" t="n">
        <f aca="false">$L163+$M163</f>
        <v>0</v>
      </c>
      <c r="O163" s="105"/>
      <c r="P163" s="103"/>
      <c r="Q163" s="104" t="n">
        <f aca="false">$O163+$P163</f>
        <v>0</v>
      </c>
      <c r="R163" s="4" t="str">
        <f aca="false">IF(N163-K163&lt;0,"False","OK")</f>
        <v>OK</v>
      </c>
      <c r="S163" s="5"/>
      <c r="T163" s="5"/>
      <c r="U163" s="68"/>
      <c r="V163" s="68"/>
      <c r="W163" s="68"/>
      <c r="X163" s="68"/>
      <c r="Y163" s="68"/>
      <c r="Z163" s="68"/>
      <c r="AA163" s="68"/>
      <c r="AB163" s="68"/>
      <c r="AC163" s="68"/>
      <c r="AD163" s="68"/>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row>
    <row r="164" customFormat="false" ht="15" hidden="false" customHeight="true" outlineLevel="0" collapsed="false">
      <c r="A164" s="35" t="s">
        <v>53</v>
      </c>
      <c r="B164" s="46"/>
      <c r="C164" s="37"/>
      <c r="D164" s="38"/>
      <c r="E164" s="39"/>
      <c r="F164" s="101"/>
      <c r="G164" s="40"/>
      <c r="H164" s="42"/>
      <c r="I164" s="102"/>
      <c r="J164" s="103"/>
      <c r="K164" s="104" t="n">
        <f aca="false">$I164+$J164</f>
        <v>0</v>
      </c>
      <c r="L164" s="102"/>
      <c r="M164" s="103"/>
      <c r="N164" s="104" t="n">
        <f aca="false">$L164+$M164</f>
        <v>0</v>
      </c>
      <c r="O164" s="105"/>
      <c r="P164" s="103"/>
      <c r="Q164" s="104" t="n">
        <f aca="false">$O164+$P164</f>
        <v>0</v>
      </c>
      <c r="R164" s="4" t="str">
        <f aca="false">IF(N164-K164&lt;0,"False","OK")</f>
        <v>OK</v>
      </c>
      <c r="S164" s="5"/>
      <c r="T164" s="5"/>
      <c r="U164" s="68"/>
      <c r="V164" s="68"/>
      <c r="W164" s="68"/>
      <c r="X164" s="68"/>
      <c r="Y164" s="68"/>
      <c r="Z164" s="68"/>
      <c r="AA164" s="68"/>
      <c r="AB164" s="68"/>
      <c r="AC164" s="68"/>
      <c r="AD164" s="68"/>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row>
    <row r="165" customFormat="false" ht="15" hidden="false" customHeight="true" outlineLevel="0" collapsed="false">
      <c r="A165" s="35" t="s">
        <v>54</v>
      </c>
      <c r="B165" s="46"/>
      <c r="C165" s="37"/>
      <c r="D165" s="38"/>
      <c r="E165" s="39"/>
      <c r="F165" s="101"/>
      <c r="G165" s="40"/>
      <c r="H165" s="42"/>
      <c r="I165" s="102"/>
      <c r="J165" s="103"/>
      <c r="K165" s="104" t="n">
        <f aca="false">$I165+$J165</f>
        <v>0</v>
      </c>
      <c r="L165" s="102"/>
      <c r="M165" s="103"/>
      <c r="N165" s="104" t="n">
        <f aca="false">$L165+$M165</f>
        <v>0</v>
      </c>
      <c r="O165" s="105"/>
      <c r="P165" s="103"/>
      <c r="Q165" s="104" t="n">
        <f aca="false">$O165+$P165</f>
        <v>0</v>
      </c>
      <c r="R165" s="4" t="str">
        <f aca="false">IF(N165-K165&lt;0,"False","OK")</f>
        <v>OK</v>
      </c>
      <c r="S165" s="5"/>
      <c r="T165" s="5"/>
      <c r="U165" s="68"/>
      <c r="V165" s="68"/>
      <c r="W165" s="68"/>
      <c r="X165" s="68"/>
      <c r="Y165" s="68"/>
      <c r="Z165" s="68"/>
      <c r="AA165" s="68"/>
      <c r="AB165" s="68"/>
      <c r="AC165" s="68"/>
      <c r="AD165" s="68"/>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row>
    <row r="166" customFormat="false" ht="15" hidden="false" customHeight="true" outlineLevel="0" collapsed="false">
      <c r="A166" s="35" t="s">
        <v>55</v>
      </c>
      <c r="B166" s="46"/>
      <c r="C166" s="37"/>
      <c r="D166" s="38"/>
      <c r="E166" s="39"/>
      <c r="F166" s="101"/>
      <c r="G166" s="40"/>
      <c r="H166" s="42"/>
      <c r="I166" s="102"/>
      <c r="J166" s="103"/>
      <c r="K166" s="104" t="n">
        <f aca="false">$I166+$J166</f>
        <v>0</v>
      </c>
      <c r="L166" s="102"/>
      <c r="M166" s="103"/>
      <c r="N166" s="104" t="n">
        <f aca="false">$L166+$M166</f>
        <v>0</v>
      </c>
      <c r="O166" s="105"/>
      <c r="P166" s="103"/>
      <c r="Q166" s="104" t="n">
        <f aca="false">$O166+$P166</f>
        <v>0</v>
      </c>
      <c r="R166" s="4" t="str">
        <f aca="false">IF(N166-K166&lt;0,"False","OK")</f>
        <v>OK</v>
      </c>
      <c r="S166" s="5"/>
      <c r="T166" s="5"/>
      <c r="U166" s="68"/>
      <c r="V166" s="68"/>
      <c r="W166" s="68"/>
      <c r="X166" s="68"/>
      <c r="Y166" s="68"/>
      <c r="Z166" s="68"/>
      <c r="AA166" s="68"/>
      <c r="AB166" s="68"/>
      <c r="AC166" s="68"/>
      <c r="AD166" s="68"/>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row>
    <row r="167" customFormat="false" ht="15" hidden="false" customHeight="true" outlineLevel="0" collapsed="false">
      <c r="A167" s="35" t="s">
        <v>56</v>
      </c>
      <c r="B167" s="46"/>
      <c r="C167" s="37"/>
      <c r="D167" s="38"/>
      <c r="E167" s="39"/>
      <c r="F167" s="101"/>
      <c r="G167" s="40"/>
      <c r="H167" s="42"/>
      <c r="I167" s="102"/>
      <c r="J167" s="103"/>
      <c r="K167" s="104" t="n">
        <f aca="false">$I167+$J167</f>
        <v>0</v>
      </c>
      <c r="L167" s="102"/>
      <c r="M167" s="103"/>
      <c r="N167" s="104" t="n">
        <f aca="false">$L167+$M167</f>
        <v>0</v>
      </c>
      <c r="O167" s="105"/>
      <c r="P167" s="103"/>
      <c r="Q167" s="104" t="n">
        <f aca="false">$O167+$P167</f>
        <v>0</v>
      </c>
      <c r="R167" s="4" t="str">
        <f aca="false">IF(N167-K167&lt;0,"False","OK")</f>
        <v>OK</v>
      </c>
      <c r="S167" s="5"/>
      <c r="T167" s="5"/>
      <c r="U167" s="68"/>
      <c r="V167" s="68"/>
      <c r="W167" s="68"/>
      <c r="X167" s="68"/>
      <c r="Y167" s="68"/>
      <c r="Z167" s="68"/>
      <c r="AA167" s="68"/>
      <c r="AB167" s="68"/>
      <c r="AC167" s="68"/>
      <c r="AD167" s="68"/>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row>
    <row r="168" customFormat="false" ht="15" hidden="false" customHeight="true" outlineLevel="0" collapsed="false">
      <c r="A168" s="35" t="s">
        <v>57</v>
      </c>
      <c r="B168" s="46"/>
      <c r="C168" s="37"/>
      <c r="D168" s="38"/>
      <c r="E168" s="39"/>
      <c r="F168" s="101"/>
      <c r="G168" s="40"/>
      <c r="H168" s="42"/>
      <c r="I168" s="102"/>
      <c r="J168" s="103"/>
      <c r="K168" s="104" t="n">
        <f aca="false">$I168+$J168</f>
        <v>0</v>
      </c>
      <c r="L168" s="102"/>
      <c r="M168" s="103"/>
      <c r="N168" s="104" t="n">
        <f aca="false">$L168+$M168</f>
        <v>0</v>
      </c>
      <c r="O168" s="105"/>
      <c r="P168" s="103"/>
      <c r="Q168" s="104" t="n">
        <f aca="false">$O168+$P168</f>
        <v>0</v>
      </c>
      <c r="R168" s="4" t="str">
        <f aca="false">IF(N168-K168&lt;0,"False","OK")</f>
        <v>OK</v>
      </c>
      <c r="S168" s="5"/>
      <c r="T168" s="5"/>
      <c r="U168" s="68"/>
      <c r="V168" s="68"/>
      <c r="W168" s="68"/>
      <c r="X168" s="68"/>
      <c r="Y168" s="68"/>
      <c r="Z168" s="68"/>
      <c r="AA168" s="68"/>
      <c r="AB168" s="68"/>
      <c r="AC168" s="68"/>
      <c r="AD168" s="68"/>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row>
    <row r="169" customFormat="false" ht="15" hidden="false" customHeight="true" outlineLevel="0" collapsed="false">
      <c r="A169" s="35" t="s">
        <v>58</v>
      </c>
      <c r="B169" s="46"/>
      <c r="C169" s="37"/>
      <c r="D169" s="38"/>
      <c r="E169" s="39"/>
      <c r="F169" s="101"/>
      <c r="G169" s="40"/>
      <c r="H169" s="42"/>
      <c r="I169" s="102"/>
      <c r="J169" s="103"/>
      <c r="K169" s="104" t="n">
        <f aca="false">$I169+$J169</f>
        <v>0</v>
      </c>
      <c r="L169" s="102"/>
      <c r="M169" s="103"/>
      <c r="N169" s="104" t="n">
        <f aca="false">$L169+$M169</f>
        <v>0</v>
      </c>
      <c r="O169" s="105"/>
      <c r="P169" s="103"/>
      <c r="Q169" s="104" t="n">
        <f aca="false">$O169+$P169</f>
        <v>0</v>
      </c>
      <c r="R169" s="4" t="str">
        <f aca="false">IF(N169-K169&lt;0,"False","OK")</f>
        <v>OK</v>
      </c>
      <c r="S169" s="5"/>
      <c r="T169" s="5"/>
      <c r="U169" s="68"/>
      <c r="V169" s="68"/>
      <c r="W169" s="68"/>
      <c r="X169" s="68"/>
      <c r="Y169" s="68"/>
      <c r="Z169" s="68"/>
      <c r="AA169" s="68"/>
      <c r="AB169" s="68"/>
      <c r="AC169" s="68"/>
      <c r="AD169" s="68"/>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row>
    <row r="170" customFormat="false" ht="15" hidden="false" customHeight="true" outlineLevel="0" collapsed="false">
      <c r="A170" s="35" t="s">
        <v>59</v>
      </c>
      <c r="B170" s="46"/>
      <c r="C170" s="37"/>
      <c r="D170" s="38"/>
      <c r="E170" s="39"/>
      <c r="F170" s="101"/>
      <c r="G170" s="40"/>
      <c r="H170" s="42"/>
      <c r="I170" s="102"/>
      <c r="J170" s="103"/>
      <c r="K170" s="104" t="n">
        <f aca="false">$I170+$J170</f>
        <v>0</v>
      </c>
      <c r="L170" s="102"/>
      <c r="M170" s="103"/>
      <c r="N170" s="104" t="n">
        <f aca="false">$L170+$M170</f>
        <v>0</v>
      </c>
      <c r="O170" s="105"/>
      <c r="P170" s="103"/>
      <c r="Q170" s="104" t="n">
        <f aca="false">$O170+$P170</f>
        <v>0</v>
      </c>
      <c r="R170" s="4" t="str">
        <f aca="false">IF(N170-K170&lt;0,"False","OK")</f>
        <v>OK</v>
      </c>
      <c r="S170" s="5"/>
      <c r="T170" s="5"/>
      <c r="U170" s="68"/>
      <c r="V170" s="68"/>
      <c r="W170" s="68"/>
      <c r="X170" s="68"/>
      <c r="Y170" s="68"/>
      <c r="Z170" s="68"/>
      <c r="AA170" s="68"/>
      <c r="AB170" s="68"/>
      <c r="AC170" s="68"/>
      <c r="AD170" s="68"/>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row>
    <row r="171" customFormat="false" ht="15" hidden="false" customHeight="true" outlineLevel="0" collapsed="false">
      <c r="A171" s="35" t="s">
        <v>60</v>
      </c>
      <c r="B171" s="46"/>
      <c r="C171" s="37"/>
      <c r="D171" s="38"/>
      <c r="E171" s="39"/>
      <c r="F171" s="101"/>
      <c r="G171" s="40"/>
      <c r="H171" s="42"/>
      <c r="I171" s="102"/>
      <c r="J171" s="103"/>
      <c r="K171" s="104" t="n">
        <f aca="false">$I171+$J171</f>
        <v>0</v>
      </c>
      <c r="L171" s="102"/>
      <c r="M171" s="103"/>
      <c r="N171" s="104" t="n">
        <f aca="false">$L171+$M171</f>
        <v>0</v>
      </c>
      <c r="O171" s="105"/>
      <c r="P171" s="103"/>
      <c r="Q171" s="104" t="n">
        <f aca="false">$O171+$P171</f>
        <v>0</v>
      </c>
      <c r="R171" s="4" t="str">
        <f aca="false">IF(N171-K171&lt;0,"False","OK")</f>
        <v>OK</v>
      </c>
      <c r="S171" s="5"/>
      <c r="T171" s="5"/>
      <c r="U171" s="68"/>
      <c r="V171" s="68"/>
      <c r="W171" s="68"/>
      <c r="X171" s="68"/>
      <c r="Y171" s="68"/>
      <c r="Z171" s="68"/>
      <c r="AA171" s="68"/>
      <c r="AB171" s="68"/>
      <c r="AC171" s="68"/>
      <c r="AD171" s="68"/>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row>
    <row r="172" customFormat="false" ht="15" hidden="false" customHeight="true" outlineLevel="0" collapsed="false">
      <c r="A172" s="35" t="s">
        <v>61</v>
      </c>
      <c r="B172" s="46"/>
      <c r="C172" s="37"/>
      <c r="D172" s="38"/>
      <c r="E172" s="39"/>
      <c r="F172" s="101"/>
      <c r="G172" s="40"/>
      <c r="H172" s="42"/>
      <c r="I172" s="102"/>
      <c r="J172" s="103"/>
      <c r="K172" s="104" t="n">
        <f aca="false">$I172+$J172</f>
        <v>0</v>
      </c>
      <c r="L172" s="102"/>
      <c r="M172" s="103"/>
      <c r="N172" s="104" t="n">
        <f aca="false">$L172+$M172</f>
        <v>0</v>
      </c>
      <c r="O172" s="105"/>
      <c r="P172" s="103"/>
      <c r="Q172" s="104" t="n">
        <f aca="false">$O172+$P172</f>
        <v>0</v>
      </c>
      <c r="R172" s="4" t="str">
        <f aca="false">IF(N172-K172&lt;0,"False","OK")</f>
        <v>OK</v>
      </c>
      <c r="S172" s="5"/>
      <c r="T172" s="5"/>
      <c r="U172" s="68"/>
      <c r="V172" s="68"/>
      <c r="W172" s="68"/>
      <c r="X172" s="68"/>
      <c r="Y172" s="68"/>
      <c r="Z172" s="68"/>
      <c r="AA172" s="68"/>
      <c r="AB172" s="68"/>
      <c r="AC172" s="68"/>
      <c r="AD172" s="68"/>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row>
    <row r="173" customFormat="false" ht="15" hidden="false" customHeight="true" outlineLevel="0" collapsed="false">
      <c r="A173" s="35" t="s">
        <v>62</v>
      </c>
      <c r="B173" s="46"/>
      <c r="C173" s="37"/>
      <c r="D173" s="38"/>
      <c r="E173" s="39"/>
      <c r="F173" s="101"/>
      <c r="G173" s="40"/>
      <c r="H173" s="42"/>
      <c r="I173" s="102"/>
      <c r="J173" s="103"/>
      <c r="K173" s="104" t="n">
        <f aca="false">$I173+$J173</f>
        <v>0</v>
      </c>
      <c r="L173" s="102"/>
      <c r="M173" s="103"/>
      <c r="N173" s="104" t="n">
        <f aca="false">$L173+$M173</f>
        <v>0</v>
      </c>
      <c r="O173" s="105"/>
      <c r="P173" s="103"/>
      <c r="Q173" s="104" t="n">
        <f aca="false">$O173+$P173</f>
        <v>0</v>
      </c>
      <c r="R173" s="4" t="str">
        <f aca="false">IF(N173-K173&lt;0,"False","OK")</f>
        <v>OK</v>
      </c>
      <c r="S173" s="5"/>
      <c r="T173" s="5"/>
      <c r="U173" s="68"/>
      <c r="V173" s="68"/>
      <c r="W173" s="68"/>
      <c r="X173" s="68"/>
      <c r="Y173" s="68"/>
      <c r="Z173" s="68"/>
      <c r="AA173" s="68"/>
      <c r="AB173" s="68"/>
      <c r="AC173" s="68"/>
      <c r="AD173" s="68"/>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row>
    <row r="174" customFormat="false" ht="15" hidden="false" customHeight="true" outlineLevel="0" collapsed="false">
      <c r="A174" s="35" t="s">
        <v>63</v>
      </c>
      <c r="B174" s="46"/>
      <c r="C174" s="37"/>
      <c r="D174" s="38"/>
      <c r="E174" s="39"/>
      <c r="F174" s="101"/>
      <c r="G174" s="40"/>
      <c r="H174" s="42"/>
      <c r="I174" s="102"/>
      <c r="J174" s="103"/>
      <c r="K174" s="104" t="n">
        <f aca="false">$I174+$J174</f>
        <v>0</v>
      </c>
      <c r="L174" s="102"/>
      <c r="M174" s="103"/>
      <c r="N174" s="104" t="n">
        <f aca="false">$L174+$M174</f>
        <v>0</v>
      </c>
      <c r="O174" s="105"/>
      <c r="P174" s="103"/>
      <c r="Q174" s="104" t="n">
        <f aca="false">$O174+$P174</f>
        <v>0</v>
      </c>
      <c r="R174" s="4" t="str">
        <f aca="false">IF(N174-K174&lt;0,"False","OK")</f>
        <v>OK</v>
      </c>
      <c r="S174" s="5"/>
      <c r="T174" s="5"/>
      <c r="U174" s="68"/>
      <c r="V174" s="68"/>
      <c r="W174" s="68"/>
      <c r="X174" s="68"/>
      <c r="Y174" s="68"/>
      <c r="Z174" s="68"/>
      <c r="AA174" s="68"/>
      <c r="AB174" s="68"/>
      <c r="AC174" s="68"/>
      <c r="AD174" s="68"/>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row>
    <row r="175" customFormat="false" ht="15" hidden="false" customHeight="true" outlineLevel="0" collapsed="false">
      <c r="A175" s="35" t="s">
        <v>64</v>
      </c>
      <c r="B175" s="46"/>
      <c r="C175" s="37"/>
      <c r="D175" s="38"/>
      <c r="E175" s="39"/>
      <c r="F175" s="101"/>
      <c r="G175" s="40"/>
      <c r="H175" s="42"/>
      <c r="I175" s="102"/>
      <c r="J175" s="103"/>
      <c r="K175" s="104" t="n">
        <f aca="false">$I175+$J175</f>
        <v>0</v>
      </c>
      <c r="L175" s="102"/>
      <c r="M175" s="103"/>
      <c r="N175" s="104" t="n">
        <f aca="false">$L175+$M175</f>
        <v>0</v>
      </c>
      <c r="O175" s="105"/>
      <c r="P175" s="103"/>
      <c r="Q175" s="104" t="n">
        <f aca="false">$O175+$P175</f>
        <v>0</v>
      </c>
      <c r="R175" s="4" t="str">
        <f aca="false">IF(N175-K175&lt;0,"False","OK")</f>
        <v>OK</v>
      </c>
      <c r="S175" s="5"/>
      <c r="T175" s="5"/>
      <c r="U175" s="68"/>
      <c r="V175" s="68"/>
      <c r="W175" s="68"/>
      <c r="X175" s="68"/>
      <c r="Y175" s="68"/>
      <c r="Z175" s="68"/>
      <c r="AA175" s="68"/>
      <c r="AB175" s="68"/>
      <c r="AC175" s="68"/>
      <c r="AD175" s="68"/>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row>
    <row r="176" customFormat="false" ht="15" hidden="false" customHeight="true" outlineLevel="0" collapsed="false">
      <c r="A176" s="35" t="s">
        <v>65</v>
      </c>
      <c r="B176" s="46"/>
      <c r="C176" s="37"/>
      <c r="D176" s="38"/>
      <c r="E176" s="39"/>
      <c r="F176" s="101"/>
      <c r="G176" s="40"/>
      <c r="H176" s="42"/>
      <c r="I176" s="102"/>
      <c r="J176" s="103"/>
      <c r="K176" s="104" t="n">
        <f aca="false">$I176+$J176</f>
        <v>0</v>
      </c>
      <c r="L176" s="102"/>
      <c r="M176" s="103"/>
      <c r="N176" s="104" t="n">
        <f aca="false">$L176+$M176</f>
        <v>0</v>
      </c>
      <c r="O176" s="105"/>
      <c r="P176" s="103"/>
      <c r="Q176" s="104" t="n">
        <f aca="false">$O176+$P176</f>
        <v>0</v>
      </c>
      <c r="R176" s="4" t="str">
        <f aca="false">IF(N176-K176&lt;0,"False","OK")</f>
        <v>OK</v>
      </c>
      <c r="S176" s="5"/>
      <c r="T176" s="5"/>
      <c r="U176" s="68"/>
      <c r="V176" s="68"/>
      <c r="W176" s="68"/>
      <c r="X176" s="68"/>
      <c r="Y176" s="68"/>
      <c r="Z176" s="68"/>
      <c r="AA176" s="68"/>
      <c r="AB176" s="68"/>
      <c r="AC176" s="68"/>
      <c r="AD176" s="68"/>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row>
    <row r="177" customFormat="false" ht="15" hidden="false" customHeight="true" outlineLevel="0" collapsed="false">
      <c r="A177" s="35" t="s">
        <v>66</v>
      </c>
      <c r="B177" s="46"/>
      <c r="C177" s="37"/>
      <c r="D177" s="38"/>
      <c r="E177" s="39"/>
      <c r="F177" s="101"/>
      <c r="G177" s="40"/>
      <c r="H177" s="42"/>
      <c r="I177" s="102"/>
      <c r="J177" s="103"/>
      <c r="K177" s="104" t="n">
        <f aca="false">$I177+$J177</f>
        <v>0</v>
      </c>
      <c r="L177" s="102"/>
      <c r="M177" s="103"/>
      <c r="N177" s="104" t="n">
        <f aca="false">$L177+$M177</f>
        <v>0</v>
      </c>
      <c r="O177" s="105"/>
      <c r="P177" s="103"/>
      <c r="Q177" s="104" t="n">
        <f aca="false">$O177+$P177</f>
        <v>0</v>
      </c>
      <c r="R177" s="4" t="str">
        <f aca="false">IF(N177-K177&lt;0,"False","OK")</f>
        <v>OK</v>
      </c>
      <c r="S177" s="5"/>
      <c r="T177" s="5"/>
      <c r="U177" s="68"/>
      <c r="V177" s="68"/>
      <c r="W177" s="68"/>
      <c r="X177" s="68"/>
      <c r="Y177" s="68"/>
      <c r="Z177" s="68"/>
      <c r="AA177" s="68"/>
      <c r="AB177" s="68"/>
      <c r="AC177" s="68"/>
      <c r="AD177" s="68"/>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row>
    <row r="178" customFormat="false" ht="15" hidden="false" customHeight="true" outlineLevel="0" collapsed="false">
      <c r="A178" s="35" t="s">
        <v>67</v>
      </c>
      <c r="B178" s="46"/>
      <c r="C178" s="37"/>
      <c r="D178" s="38"/>
      <c r="E178" s="39"/>
      <c r="F178" s="101"/>
      <c r="G178" s="40"/>
      <c r="H178" s="42"/>
      <c r="I178" s="102"/>
      <c r="J178" s="103"/>
      <c r="K178" s="104" t="n">
        <f aca="false">$I178+$J178</f>
        <v>0</v>
      </c>
      <c r="L178" s="102"/>
      <c r="M178" s="103"/>
      <c r="N178" s="104" t="n">
        <f aca="false">$L178+$M178</f>
        <v>0</v>
      </c>
      <c r="O178" s="105"/>
      <c r="P178" s="103"/>
      <c r="Q178" s="104" t="n">
        <f aca="false">$O178+$P178</f>
        <v>0</v>
      </c>
      <c r="R178" s="4" t="str">
        <f aca="false">IF(N178-K178&lt;0,"False","OK")</f>
        <v>OK</v>
      </c>
      <c r="S178" s="5"/>
      <c r="T178" s="5"/>
      <c r="U178" s="68"/>
      <c r="V178" s="68"/>
      <c r="W178" s="68"/>
      <c r="X178" s="68"/>
      <c r="Y178" s="68"/>
      <c r="Z178" s="68"/>
      <c r="AA178" s="68"/>
      <c r="AB178" s="68"/>
      <c r="AC178" s="68"/>
      <c r="AD178" s="68"/>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row>
    <row r="179" customFormat="false" ht="15" hidden="false" customHeight="true" outlineLevel="0" collapsed="false">
      <c r="A179" s="35" t="s">
        <v>68</v>
      </c>
      <c r="B179" s="46"/>
      <c r="C179" s="37"/>
      <c r="D179" s="38"/>
      <c r="E179" s="39"/>
      <c r="F179" s="101"/>
      <c r="G179" s="40"/>
      <c r="H179" s="42"/>
      <c r="I179" s="102"/>
      <c r="J179" s="103"/>
      <c r="K179" s="104" t="n">
        <f aca="false">$I179+$J179</f>
        <v>0</v>
      </c>
      <c r="L179" s="102"/>
      <c r="M179" s="103"/>
      <c r="N179" s="104" t="n">
        <f aca="false">$L179+$M179</f>
        <v>0</v>
      </c>
      <c r="O179" s="105"/>
      <c r="P179" s="103"/>
      <c r="Q179" s="104" t="n">
        <f aca="false">$O179+$P179</f>
        <v>0</v>
      </c>
      <c r="R179" s="4" t="str">
        <f aca="false">IF(N179-K179&lt;0,"False","OK")</f>
        <v>OK</v>
      </c>
      <c r="S179" s="5"/>
      <c r="T179" s="5"/>
      <c r="U179" s="68"/>
      <c r="V179" s="68"/>
      <c r="W179" s="68"/>
      <c r="X179" s="68"/>
      <c r="Y179" s="68"/>
      <c r="Z179" s="68"/>
      <c r="AA179" s="68"/>
      <c r="AB179" s="68"/>
      <c r="AC179" s="68"/>
      <c r="AD179" s="68"/>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row>
    <row r="180" customFormat="false" ht="15" hidden="false" customHeight="true" outlineLevel="0" collapsed="false">
      <c r="A180" s="50" t="s">
        <v>87</v>
      </c>
      <c r="B180" s="106"/>
      <c r="C180" s="107"/>
      <c r="D180" s="108"/>
      <c r="E180" s="52"/>
      <c r="F180" s="101"/>
      <c r="G180" s="109"/>
      <c r="H180" s="49"/>
      <c r="I180" s="110"/>
      <c r="J180" s="111"/>
      <c r="K180" s="112" t="n">
        <f aca="false">$I180+$J180</f>
        <v>0</v>
      </c>
      <c r="L180" s="110"/>
      <c r="M180" s="111"/>
      <c r="N180" s="112" t="n">
        <f aca="false">$L180+$M180</f>
        <v>0</v>
      </c>
      <c r="O180" s="113"/>
      <c r="P180" s="111"/>
      <c r="Q180" s="112" t="n">
        <f aca="false">$O180+$P180</f>
        <v>0</v>
      </c>
      <c r="R180" s="4" t="str">
        <f aca="false">IF(N180-K180&lt;0,"False","OK")</f>
        <v>OK</v>
      </c>
      <c r="S180" s="5"/>
      <c r="T180" s="5"/>
      <c r="U180" s="68"/>
      <c r="V180" s="68"/>
      <c r="W180" s="68"/>
      <c r="X180" s="68"/>
      <c r="Y180" s="68"/>
      <c r="Z180" s="68"/>
      <c r="AA180" s="68"/>
      <c r="AB180" s="68"/>
      <c r="AC180" s="68"/>
      <c r="AD180" s="68"/>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row>
    <row r="181" customFormat="false" ht="15" hidden="false" customHeight="true" outlineLevel="0" collapsed="false">
      <c r="A181" s="114" t="s">
        <v>17</v>
      </c>
      <c r="B181" s="115"/>
      <c r="C181" s="116"/>
      <c r="D181" s="116"/>
      <c r="E181" s="116"/>
      <c r="F181" s="116"/>
      <c r="G181" s="116"/>
      <c r="H181" s="117"/>
      <c r="I181" s="118" t="n">
        <f aca="false">SUM(I$130:I$180)</f>
        <v>0</v>
      </c>
      <c r="J181" s="119" t="n">
        <f aca="false">SUM(J$130:J$180)</f>
        <v>0</v>
      </c>
      <c r="K181" s="99" t="n">
        <f aca="false">$I181+$J181</f>
        <v>0</v>
      </c>
      <c r="L181" s="118" t="n">
        <f aca="false">SUM(L$130:L$180)</f>
        <v>0</v>
      </c>
      <c r="M181" s="119" t="n">
        <f aca="false">SUM(M$130:M$180)</f>
        <v>0</v>
      </c>
      <c r="N181" s="99" t="n">
        <f aca="false">$L181+$M181</f>
        <v>0</v>
      </c>
      <c r="O181" s="118" t="n">
        <f aca="false">SUM(O$130:O$180)</f>
        <v>0</v>
      </c>
      <c r="P181" s="119" t="n">
        <f aca="false">SUM(P$130:P$180)</f>
        <v>0</v>
      </c>
      <c r="Q181" s="99" t="n">
        <f aca="false">$O181+$P181</f>
        <v>0</v>
      </c>
      <c r="R181" s="4" t="str">
        <f aca="false">IF(N181-K181&lt;0,"False","OK")</f>
        <v>OK</v>
      </c>
      <c r="S181" s="5"/>
      <c r="T181" s="5"/>
      <c r="U181" s="68"/>
      <c r="V181" s="68"/>
      <c r="W181" s="68"/>
      <c r="X181" s="68"/>
      <c r="Y181" s="68"/>
      <c r="Z181" s="68"/>
      <c r="AA181" s="68"/>
      <c r="AB181" s="68"/>
      <c r="AC181" s="68"/>
      <c r="AD181" s="68"/>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row>
    <row r="182" customFormat="false" ht="15" hidden="false" customHeight="true" outlineLevel="0" collapsed="false">
      <c r="S182" s="5"/>
      <c r="T182" s="5"/>
      <c r="U182" s="68"/>
      <c r="V182" s="68"/>
      <c r="W182" s="68"/>
      <c r="X182" s="68"/>
      <c r="Y182" s="68"/>
      <c r="Z182" s="68"/>
      <c r="AA182" s="68"/>
      <c r="AB182" s="68"/>
      <c r="AC182" s="68"/>
      <c r="AD182" s="68"/>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row>
    <row r="183" customFormat="false" ht="15" hidden="false" customHeight="true" outlineLevel="0" collapsed="false">
      <c r="A183" s="64" t="s">
        <v>88</v>
      </c>
      <c r="B183" s="64"/>
      <c r="C183" s="64"/>
      <c r="D183" s="64"/>
      <c r="E183" s="64"/>
      <c r="F183" s="64"/>
      <c r="G183" s="120"/>
      <c r="H183" s="120"/>
      <c r="S183" s="5"/>
      <c r="T183" s="5"/>
      <c r="U183" s="68"/>
      <c r="V183" s="68"/>
      <c r="W183" s="68"/>
      <c r="X183" s="68"/>
      <c r="Y183" s="68"/>
      <c r="Z183" s="68"/>
      <c r="AA183" s="68"/>
      <c r="AB183" s="68"/>
      <c r="AC183" s="68"/>
      <c r="AD183" s="68"/>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row>
    <row r="184" customFormat="false" ht="15" hidden="false" customHeight="true" outlineLevel="0" collapsed="false">
      <c r="A184" s="64"/>
      <c r="B184" s="64"/>
      <c r="C184" s="64"/>
      <c r="D184" s="64"/>
      <c r="E184" s="64"/>
      <c r="F184" s="64"/>
      <c r="G184" s="120"/>
      <c r="H184" s="120"/>
      <c r="S184" s="5"/>
      <c r="T184" s="5"/>
      <c r="U184" s="68"/>
      <c r="V184" s="68"/>
      <c r="W184" s="68"/>
      <c r="X184" s="68"/>
      <c r="Y184" s="68"/>
      <c r="Z184" s="68"/>
      <c r="AA184" s="68"/>
      <c r="AB184" s="68"/>
      <c r="AC184" s="68"/>
      <c r="AD184" s="68"/>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row>
    <row r="185" customFormat="false" ht="15" hidden="false" customHeight="true" outlineLevel="0" collapsed="false">
      <c r="A185" s="64"/>
      <c r="B185" s="64"/>
      <c r="C185" s="64"/>
      <c r="D185" s="64"/>
      <c r="E185" s="64"/>
      <c r="F185" s="64"/>
      <c r="G185" s="120"/>
      <c r="H185" s="120"/>
      <c r="S185" s="5"/>
      <c r="T185" s="5"/>
      <c r="U185" s="68"/>
      <c r="V185" s="68"/>
      <c r="W185" s="68"/>
      <c r="X185" s="68"/>
      <c r="Y185" s="68"/>
      <c r="Z185" s="68"/>
      <c r="AA185" s="68"/>
      <c r="AB185" s="68"/>
      <c r="AC185" s="68"/>
      <c r="AD185" s="68"/>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row>
    <row r="186" customFormat="false" ht="15" hidden="false" customHeight="true" outlineLevel="0" collapsed="false">
      <c r="A186" s="70"/>
      <c r="B186" s="70"/>
      <c r="C186" s="70"/>
      <c r="D186" s="70"/>
      <c r="E186" s="70"/>
      <c r="F186" s="70"/>
      <c r="G186" s="121"/>
      <c r="H186" s="121"/>
      <c r="S186" s="5"/>
      <c r="T186" s="5"/>
      <c r="U186" s="68"/>
      <c r="V186" s="68"/>
      <c r="W186" s="68"/>
      <c r="X186" s="68"/>
      <c r="Y186" s="68"/>
      <c r="Z186" s="68"/>
      <c r="AA186" s="68"/>
      <c r="AB186" s="68"/>
      <c r="AC186" s="68"/>
      <c r="AD186" s="68"/>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row>
    <row r="187" customFormat="false" ht="15" hidden="false" customHeight="true" outlineLevel="0" collapsed="false">
      <c r="A187" s="69" t="s">
        <v>70</v>
      </c>
      <c r="B187" s="69"/>
      <c r="C187" s="69"/>
      <c r="D187" s="73"/>
      <c r="E187" s="73"/>
      <c r="F187" s="73"/>
      <c r="S187" s="5"/>
      <c r="T187" s="5"/>
      <c r="U187" s="68"/>
      <c r="V187" s="68"/>
      <c r="W187" s="68"/>
      <c r="X187" s="68"/>
      <c r="Y187" s="68"/>
      <c r="Z187" s="68"/>
      <c r="AA187" s="68"/>
      <c r="AB187" s="68"/>
      <c r="AC187" s="68"/>
      <c r="AD187" s="68"/>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row>
    <row r="188" customFormat="false" ht="15" hidden="false" customHeight="true" outlineLevel="0" collapsed="false">
      <c r="A188" s="73"/>
      <c r="B188" s="73"/>
      <c r="C188" s="73"/>
      <c r="D188" s="73"/>
      <c r="E188" s="73"/>
      <c r="F188" s="73"/>
      <c r="S188" s="5"/>
      <c r="T188" s="5"/>
      <c r="U188" s="68"/>
      <c r="V188" s="68"/>
      <c r="W188" s="68"/>
      <c r="X188" s="68"/>
      <c r="Y188" s="68"/>
      <c r="Z188" s="68"/>
      <c r="AA188" s="68"/>
      <c r="AB188" s="68"/>
      <c r="AC188" s="68"/>
      <c r="AD188" s="68"/>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row>
    <row r="189" customFormat="false" ht="15" hidden="false" customHeight="true" outlineLevel="0" collapsed="false">
      <c r="A189" s="73" t="s">
        <v>89</v>
      </c>
      <c r="B189" s="73"/>
      <c r="C189" s="73"/>
      <c r="D189" s="73"/>
      <c r="E189" s="73"/>
      <c r="F189" s="73"/>
      <c r="S189" s="5"/>
      <c r="T189" s="5"/>
      <c r="U189" s="68"/>
      <c r="V189" s="68"/>
      <c r="W189" s="68"/>
      <c r="X189" s="68"/>
      <c r="Y189" s="68"/>
      <c r="Z189" s="68"/>
      <c r="AA189" s="68"/>
      <c r="AB189" s="68"/>
      <c r="AC189" s="68"/>
      <c r="AD189" s="68"/>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row>
    <row r="191" customFormat="false" ht="15" hidden="false" customHeight="true" outlineLevel="0" collapsed="false">
      <c r="A191" s="8" t="s">
        <v>90</v>
      </c>
      <c r="B191" s="8"/>
      <c r="C191" s="8"/>
      <c r="D191" s="8"/>
      <c r="E191" s="8"/>
      <c r="F191" s="122"/>
      <c r="G191" s="8"/>
      <c r="H191" s="8"/>
      <c r="I191" s="8"/>
      <c r="T191" s="5"/>
      <c r="U191" s="68"/>
      <c r="V191" s="68"/>
      <c r="W191" s="68"/>
      <c r="X191" s="68"/>
      <c r="Y191" s="68"/>
      <c r="Z191" s="68"/>
      <c r="AA191" s="68"/>
      <c r="AB191" s="68"/>
      <c r="AC191" s="68"/>
      <c r="AD191" s="68"/>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row>
    <row r="192" customFormat="false" ht="15" hidden="false" customHeight="true" outlineLevel="0" collapsed="false">
      <c r="A192" s="88" t="s">
        <v>91</v>
      </c>
      <c r="B192" s="88" t="s">
        <v>92</v>
      </c>
      <c r="C192" s="88"/>
      <c r="D192" s="88"/>
      <c r="E192" s="88"/>
      <c r="F192" s="88"/>
      <c r="G192" s="88"/>
      <c r="H192" s="88" t="s">
        <v>93</v>
      </c>
      <c r="I192" s="88"/>
      <c r="J192" s="88"/>
      <c r="K192" s="123" t="s">
        <v>94</v>
      </c>
      <c r="L192" s="124"/>
      <c r="M192" s="123"/>
      <c r="N192" s="123"/>
      <c r="O192" s="123"/>
      <c r="P192" s="123"/>
      <c r="T192" s="5"/>
      <c r="U192" s="68"/>
      <c r="V192" s="68"/>
      <c r="W192" s="68"/>
      <c r="X192" s="68"/>
      <c r="Y192" s="68"/>
      <c r="Z192" s="68"/>
      <c r="AA192" s="68"/>
      <c r="AB192" s="68"/>
      <c r="AC192" s="68"/>
      <c r="AD192" s="68"/>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row>
    <row r="193" customFormat="false" ht="15" hidden="false" customHeight="true" outlineLevel="0" collapsed="false">
      <c r="A193" s="88"/>
      <c r="B193" s="88" t="s">
        <v>95</v>
      </c>
      <c r="C193" s="88"/>
      <c r="D193" s="88"/>
      <c r="E193" s="88" t="s">
        <v>96</v>
      </c>
      <c r="F193" s="88"/>
      <c r="G193" s="88"/>
      <c r="H193" s="88"/>
      <c r="I193" s="88"/>
      <c r="J193" s="88"/>
      <c r="K193" s="124" t="s">
        <v>97</v>
      </c>
      <c r="L193" s="124"/>
      <c r="M193" s="124"/>
      <c r="N193" s="124"/>
      <c r="O193" s="124"/>
      <c r="P193" s="124"/>
      <c r="T193" s="5"/>
      <c r="U193" s="68"/>
      <c r="V193" s="68"/>
      <c r="W193" s="68"/>
      <c r="X193" s="68"/>
      <c r="Y193" s="68"/>
      <c r="Z193" s="68"/>
      <c r="AA193" s="68"/>
      <c r="AB193" s="68"/>
      <c r="AC193" s="68"/>
      <c r="AD193" s="68"/>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row>
    <row r="194" customFormat="false" ht="15" hidden="false" customHeight="true" outlineLevel="0" collapsed="false">
      <c r="A194" s="88"/>
      <c r="B194" s="88" t="s">
        <v>15</v>
      </c>
      <c r="C194" s="90" t="s">
        <v>98</v>
      </c>
      <c r="D194" s="95" t="s">
        <v>17</v>
      </c>
      <c r="E194" s="92" t="s">
        <v>15</v>
      </c>
      <c r="F194" s="90" t="s">
        <v>98</v>
      </c>
      <c r="G194" s="95" t="s">
        <v>17</v>
      </c>
      <c r="H194" s="92" t="s">
        <v>15</v>
      </c>
      <c r="I194" s="90" t="s">
        <v>98</v>
      </c>
      <c r="J194" s="95" t="s">
        <v>17</v>
      </c>
      <c r="K194" s="123" t="s">
        <v>15</v>
      </c>
      <c r="L194" s="124" t="s">
        <v>98</v>
      </c>
      <c r="M194" s="123" t="s">
        <v>17</v>
      </c>
      <c r="N194" s="123"/>
      <c r="O194" s="123"/>
      <c r="P194" s="123"/>
      <c r="T194" s="5"/>
      <c r="U194" s="68"/>
      <c r="V194" s="68"/>
      <c r="W194" s="68"/>
      <c r="X194" s="68"/>
      <c r="Y194" s="68"/>
      <c r="Z194" s="68"/>
      <c r="AA194" s="68"/>
      <c r="AB194" s="68"/>
      <c r="AC194" s="68"/>
      <c r="AD194" s="68"/>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row>
    <row r="195" customFormat="false" ht="15" hidden="false" customHeight="true" outlineLevel="0" collapsed="false">
      <c r="A195" s="125" t="s">
        <v>83</v>
      </c>
      <c r="B195" s="97"/>
      <c r="C195" s="98"/>
      <c r="D195" s="126" t="n">
        <f aca="false">$B$195+$C$195</f>
        <v>0</v>
      </c>
      <c r="E195" s="127"/>
      <c r="F195" s="128"/>
      <c r="G195" s="126" t="n">
        <f aca="false">$E$195+$F$195</f>
        <v>0</v>
      </c>
      <c r="H195" s="127" t="n">
        <f aca="false">B195+E195</f>
        <v>0</v>
      </c>
      <c r="I195" s="128" t="n">
        <f aca="false">C195+F195</f>
        <v>0</v>
      </c>
      <c r="J195" s="126" t="n">
        <f aca="false">$H$195+$I$195</f>
        <v>0</v>
      </c>
      <c r="K195" s="123" t="str">
        <f aca="false">IF(G212=H195,"OK"," Compare Quadro 1,3")</f>
        <v>OK</v>
      </c>
      <c r="L195" s="124" t="str">
        <f aca="false">IF(H212=I195,"OK","Complete Quadro 1,3")</f>
        <v>OK</v>
      </c>
      <c r="M195" s="123" t="str">
        <f aca="false">IF(I212=J195,"OK","Complete Quadro 1,3")</f>
        <v>OK</v>
      </c>
      <c r="N195" s="123"/>
      <c r="O195" s="123"/>
      <c r="P195" s="123"/>
      <c r="T195" s="5"/>
      <c r="U195" s="68"/>
      <c r="V195" s="68"/>
      <c r="W195" s="68"/>
      <c r="X195" s="68"/>
      <c r="Y195" s="68"/>
      <c r="Z195" s="68"/>
      <c r="AA195" s="68"/>
      <c r="AB195" s="68"/>
      <c r="AC195" s="68"/>
      <c r="AD195" s="68"/>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row>
    <row r="196" customFormat="false" ht="15" hidden="false" customHeight="true" outlineLevel="0" collapsed="false">
      <c r="A196" s="129" t="s">
        <v>84</v>
      </c>
      <c r="B196" s="102"/>
      <c r="C196" s="103"/>
      <c r="D196" s="130" t="n">
        <f aca="false">$B$196+$C$196</f>
        <v>0</v>
      </c>
      <c r="E196" s="131"/>
      <c r="F196" s="132"/>
      <c r="G196" s="130" t="n">
        <f aca="false">$E$196+$F$196</f>
        <v>0</v>
      </c>
      <c r="H196" s="131" t="n">
        <f aca="false">B196+E196</f>
        <v>0</v>
      </c>
      <c r="I196" s="132" t="n">
        <f aca="false">C196+F196</f>
        <v>0</v>
      </c>
      <c r="J196" s="130" t="n">
        <f aca="false">$H$196+$I$196</f>
        <v>0</v>
      </c>
      <c r="K196" s="123" t="str">
        <f aca="false">IF(J212=H196,"OK"," Compare Quadro 1,3")</f>
        <v>OK</v>
      </c>
      <c r="L196" s="124" t="str">
        <f aca="false">IF(K212=I196,"OK","Compare1,3")</f>
        <v>OK</v>
      </c>
      <c r="M196" s="123" t="str">
        <f aca="false">IF(L212=J196,"OK","Complete Quadro 1,3")</f>
        <v>OK</v>
      </c>
      <c r="N196" s="123"/>
      <c r="O196" s="123"/>
      <c r="P196" s="123"/>
      <c r="T196" s="5"/>
      <c r="U196" s="68"/>
      <c r="V196" s="68"/>
      <c r="W196" s="68"/>
      <c r="X196" s="68"/>
      <c r="Y196" s="68"/>
      <c r="Z196" s="68"/>
      <c r="AA196" s="68"/>
      <c r="AB196" s="68"/>
      <c r="AC196" s="68"/>
      <c r="AD196" s="68"/>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row>
    <row r="197" customFormat="false" ht="15" hidden="false" customHeight="true" outlineLevel="0" collapsed="false">
      <c r="A197" s="133" t="s">
        <v>85</v>
      </c>
      <c r="B197" s="110"/>
      <c r="C197" s="111"/>
      <c r="D197" s="134" t="n">
        <f aca="false">$B$197+$C$197</f>
        <v>0</v>
      </c>
      <c r="E197" s="135"/>
      <c r="F197" s="136"/>
      <c r="G197" s="134" t="n">
        <f aca="false">$E$197+$F$197</f>
        <v>0</v>
      </c>
      <c r="H197" s="135" t="n">
        <f aca="false">B197+E197</f>
        <v>0</v>
      </c>
      <c r="I197" s="136" t="n">
        <f aca="false">C197+F197</f>
        <v>0</v>
      </c>
      <c r="J197" s="134" t="n">
        <f aca="false">$H$197+$I$197</f>
        <v>0</v>
      </c>
      <c r="K197" s="123" t="str">
        <f aca="false">IF(M212=H197,"OK"," Compare Quadro 1,3")</f>
        <v>OK</v>
      </c>
      <c r="L197" s="124" t="str">
        <f aca="false">IF(N212=I197,"OK","Compare1,3")</f>
        <v>OK</v>
      </c>
      <c r="M197" s="123" t="str">
        <f aca="false">IF(O212=J197,"OK","Complete Quadro 1,3")</f>
        <v>OK</v>
      </c>
      <c r="N197" s="123"/>
      <c r="O197" s="123"/>
      <c r="P197" s="123"/>
      <c r="T197" s="5"/>
      <c r="U197" s="68"/>
      <c r="V197" s="68"/>
      <c r="W197" s="68"/>
      <c r="X197" s="68"/>
      <c r="Y197" s="68"/>
      <c r="Z197" s="68"/>
      <c r="AA197" s="68"/>
      <c r="AB197" s="68"/>
      <c r="AC197" s="68"/>
      <c r="AD197" s="68"/>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row>
    <row r="198" customFormat="false" ht="15" hidden="false" customHeight="true" outlineLevel="0" collapsed="false">
      <c r="E198" s="137"/>
      <c r="F198" s="137"/>
      <c r="G198" s="137"/>
      <c r="H198" s="138"/>
      <c r="I198" s="137"/>
      <c r="J198" s="137"/>
      <c r="K198" s="138"/>
      <c r="L198" s="139"/>
      <c r="M198" s="123"/>
      <c r="N198" s="123"/>
      <c r="O198" s="123"/>
      <c r="P198" s="123"/>
      <c r="Q198" s="123"/>
      <c r="R198" s="123"/>
      <c r="T198" s="5"/>
      <c r="U198" s="68"/>
      <c r="V198" s="68"/>
      <c r="W198" s="68"/>
      <c r="X198" s="68"/>
      <c r="Y198" s="68"/>
      <c r="Z198" s="68"/>
      <c r="AA198" s="68"/>
      <c r="AB198" s="68"/>
      <c r="AC198" s="68"/>
      <c r="AD198" s="68"/>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row>
    <row r="199" customFormat="false" ht="15" hidden="false" customHeight="true" outlineLevel="0" collapsed="false">
      <c r="A199" s="8" t="s">
        <v>99</v>
      </c>
      <c r="E199" s="137"/>
      <c r="F199" s="137"/>
      <c r="G199" s="137"/>
      <c r="H199" s="138"/>
      <c r="I199" s="137"/>
      <c r="J199" s="137"/>
      <c r="K199" s="138"/>
      <c r="L199" s="139"/>
      <c r="M199" s="123"/>
      <c r="N199" s="123"/>
      <c r="O199" s="123"/>
      <c r="P199" s="123"/>
      <c r="Q199" s="123"/>
      <c r="R199" s="123"/>
      <c r="T199" s="5"/>
      <c r="U199" s="68"/>
      <c r="V199" s="68"/>
      <c r="W199" s="68"/>
      <c r="X199" s="68"/>
      <c r="Y199" s="68"/>
      <c r="Z199" s="68"/>
      <c r="AA199" s="68"/>
      <c r="AB199" s="68"/>
      <c r="AC199" s="68"/>
      <c r="AD199" s="68"/>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row>
    <row r="200" customFormat="false" ht="15" hidden="false" customHeight="true" outlineLevel="0" collapsed="false">
      <c r="A200" s="88" t="s">
        <v>3</v>
      </c>
      <c r="B200" s="89" t="s">
        <v>5</v>
      </c>
      <c r="C200" s="89"/>
      <c r="D200" s="88" t="s">
        <v>6</v>
      </c>
      <c r="E200" s="89" t="s">
        <v>100</v>
      </c>
      <c r="F200" s="88" t="s">
        <v>101</v>
      </c>
      <c r="G200" s="88" t="s">
        <v>83</v>
      </c>
      <c r="H200" s="88"/>
      <c r="I200" s="88"/>
      <c r="J200" s="140" t="s">
        <v>84</v>
      </c>
      <c r="K200" s="140"/>
      <c r="L200" s="140"/>
      <c r="M200" s="141" t="s">
        <v>85</v>
      </c>
      <c r="N200" s="141"/>
      <c r="O200" s="141"/>
      <c r="P200" s="123"/>
      <c r="Q200" s="123"/>
      <c r="T200" s="5"/>
      <c r="U200" s="68"/>
      <c r="V200" s="68"/>
      <c r="W200" s="68"/>
      <c r="X200" s="68"/>
      <c r="Y200" s="68"/>
      <c r="Z200" s="68"/>
      <c r="AA200" s="68"/>
      <c r="AB200" s="68"/>
      <c r="AC200" s="68"/>
      <c r="AD200" s="68"/>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row>
    <row r="201" customFormat="false" ht="15" hidden="false" customHeight="true" outlineLevel="0" collapsed="false">
      <c r="A201" s="88"/>
      <c r="B201" s="89" t="s">
        <v>102</v>
      </c>
      <c r="C201" s="89" t="s">
        <v>103</v>
      </c>
      <c r="D201" s="88"/>
      <c r="E201" s="89"/>
      <c r="F201" s="88"/>
      <c r="G201" s="92" t="s">
        <v>15</v>
      </c>
      <c r="H201" s="90" t="s">
        <v>16</v>
      </c>
      <c r="I201" s="95" t="s">
        <v>17</v>
      </c>
      <c r="J201" s="88" t="s">
        <v>15</v>
      </c>
      <c r="K201" s="90" t="s">
        <v>16</v>
      </c>
      <c r="L201" s="95" t="s">
        <v>17</v>
      </c>
      <c r="M201" s="88" t="s">
        <v>15</v>
      </c>
      <c r="N201" s="90" t="s">
        <v>16</v>
      </c>
      <c r="O201" s="142" t="s">
        <v>17</v>
      </c>
      <c r="P201" s="123"/>
      <c r="Q201" s="123"/>
      <c r="R201" s="123"/>
      <c r="S201" s="143"/>
      <c r="T201" s="5"/>
      <c r="U201" s="68"/>
      <c r="V201" s="68"/>
      <c r="W201" s="68"/>
      <c r="X201" s="68"/>
      <c r="Y201" s="68"/>
      <c r="Z201" s="68"/>
      <c r="AA201" s="68"/>
      <c r="AB201" s="68"/>
      <c r="AC201" s="68"/>
      <c r="AD201" s="68"/>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row>
    <row r="202" customFormat="false" ht="15" hidden="false" customHeight="true" outlineLevel="0" collapsed="false">
      <c r="A202" s="22" t="s">
        <v>19</v>
      </c>
      <c r="B202" s="37"/>
      <c r="C202" s="38"/>
      <c r="D202" s="97"/>
      <c r="E202" s="144"/>
      <c r="F202" s="29"/>
      <c r="G202" s="97"/>
      <c r="H202" s="98"/>
      <c r="I202" s="145" t="n">
        <f aca="false">$G$202+$H$202</f>
        <v>0</v>
      </c>
      <c r="J202" s="146"/>
      <c r="K202" s="98"/>
      <c r="L202" s="145" t="n">
        <f aca="false">$J$202+$K$202</f>
        <v>0</v>
      </c>
      <c r="M202" s="146"/>
      <c r="N202" s="98"/>
      <c r="O202" s="99" t="n">
        <f aca="false">$M$202+$N$202</f>
        <v>0</v>
      </c>
      <c r="P202" s="123"/>
      <c r="Q202" s="123"/>
      <c r="R202" s="123"/>
      <c r="S202" s="143"/>
      <c r="T202" s="5"/>
      <c r="U202" s="68"/>
      <c r="V202" s="68"/>
      <c r="W202" s="68"/>
      <c r="X202" s="68"/>
      <c r="Y202" s="68"/>
      <c r="Z202" s="68"/>
      <c r="AA202" s="68"/>
      <c r="AB202" s="68"/>
      <c r="AC202" s="68"/>
      <c r="AD202" s="68"/>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row>
    <row r="203" customFormat="false" ht="15" hidden="false" customHeight="true" outlineLevel="0" collapsed="false">
      <c r="A203" s="35" t="s">
        <v>20</v>
      </c>
      <c r="B203" s="37"/>
      <c r="C203" s="38"/>
      <c r="D203" s="147"/>
      <c r="E203" s="148"/>
      <c r="F203" s="42"/>
      <c r="G203" s="102"/>
      <c r="H203" s="103"/>
      <c r="I203" s="149" t="n">
        <f aca="false">$G$203+$H$203</f>
        <v>0</v>
      </c>
      <c r="J203" s="150"/>
      <c r="K203" s="103"/>
      <c r="L203" s="149" t="n">
        <f aca="false">$J$203+$K$203</f>
        <v>0</v>
      </c>
      <c r="M203" s="150"/>
      <c r="N203" s="103"/>
      <c r="O203" s="104" t="n">
        <f aca="false">$M$203+$N$203</f>
        <v>0</v>
      </c>
      <c r="P203" s="123"/>
      <c r="Q203" s="123"/>
      <c r="R203" s="123"/>
      <c r="S203" s="143"/>
      <c r="T203" s="5"/>
      <c r="U203" s="68"/>
      <c r="V203" s="68"/>
      <c r="W203" s="68"/>
      <c r="X203" s="68"/>
      <c r="Y203" s="68"/>
      <c r="Z203" s="68"/>
      <c r="AA203" s="68"/>
      <c r="AB203" s="68"/>
      <c r="AC203" s="68"/>
      <c r="AD203" s="68"/>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row>
    <row r="204" customFormat="false" ht="15" hidden="false" customHeight="true" outlineLevel="0" collapsed="false">
      <c r="A204" s="35" t="s">
        <v>21</v>
      </c>
      <c r="B204" s="37"/>
      <c r="C204" s="38"/>
      <c r="D204" s="147"/>
      <c r="E204" s="148"/>
      <c r="F204" s="42"/>
      <c r="G204" s="102"/>
      <c r="H204" s="103"/>
      <c r="I204" s="149" t="n">
        <f aca="false">$G$204+$H$204</f>
        <v>0</v>
      </c>
      <c r="J204" s="150"/>
      <c r="K204" s="103"/>
      <c r="L204" s="149" t="n">
        <f aca="false">$J$204+$K$204</f>
        <v>0</v>
      </c>
      <c r="M204" s="150"/>
      <c r="N204" s="103"/>
      <c r="O204" s="104" t="n">
        <f aca="false">$M$204+$N$204</f>
        <v>0</v>
      </c>
      <c r="P204" s="123"/>
      <c r="Q204" s="123"/>
      <c r="R204" s="123"/>
      <c r="S204" s="143"/>
      <c r="T204" s="5"/>
      <c r="U204" s="68"/>
      <c r="V204" s="68"/>
      <c r="W204" s="68"/>
      <c r="X204" s="68"/>
      <c r="Y204" s="68"/>
      <c r="Z204" s="68"/>
      <c r="AA204" s="68"/>
      <c r="AB204" s="68"/>
      <c r="AC204" s="68"/>
      <c r="AD204" s="68"/>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row>
    <row r="205" customFormat="false" ht="15" hidden="false" customHeight="true" outlineLevel="0" collapsed="false">
      <c r="A205" s="35" t="s">
        <v>22</v>
      </c>
      <c r="B205" s="37"/>
      <c r="C205" s="38"/>
      <c r="D205" s="147"/>
      <c r="E205" s="148"/>
      <c r="F205" s="42"/>
      <c r="G205" s="102"/>
      <c r="H205" s="103"/>
      <c r="I205" s="149" t="n">
        <f aca="false">$G$205+$H$205</f>
        <v>0</v>
      </c>
      <c r="J205" s="150"/>
      <c r="K205" s="103"/>
      <c r="L205" s="149" t="n">
        <f aca="false">$J$205+$K$205</f>
        <v>0</v>
      </c>
      <c r="M205" s="150"/>
      <c r="N205" s="103"/>
      <c r="O205" s="104" t="n">
        <f aca="false">$M$205+$N$205</f>
        <v>0</v>
      </c>
      <c r="P205" s="123"/>
      <c r="Q205" s="123"/>
      <c r="R205" s="123"/>
      <c r="S205" s="143"/>
      <c r="T205" s="5"/>
      <c r="U205" s="68"/>
      <c r="V205" s="68"/>
      <c r="W205" s="68"/>
      <c r="X205" s="68"/>
      <c r="Y205" s="68"/>
      <c r="Z205" s="68"/>
      <c r="AA205" s="68"/>
      <c r="AB205" s="68"/>
      <c r="AC205" s="68"/>
      <c r="AD205" s="68"/>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row>
    <row r="206" customFormat="false" ht="15" hidden="false" customHeight="true" outlineLevel="0" collapsed="false">
      <c r="A206" s="35" t="s">
        <v>23</v>
      </c>
      <c r="B206" s="37"/>
      <c r="C206" s="38"/>
      <c r="D206" s="147"/>
      <c r="E206" s="148"/>
      <c r="F206" s="42"/>
      <c r="G206" s="102"/>
      <c r="H206" s="103"/>
      <c r="I206" s="149" t="n">
        <f aca="false">$G$206+$H$206</f>
        <v>0</v>
      </c>
      <c r="J206" s="150"/>
      <c r="K206" s="103"/>
      <c r="L206" s="149" t="n">
        <f aca="false">$J$206+$K$206</f>
        <v>0</v>
      </c>
      <c r="M206" s="150"/>
      <c r="N206" s="103"/>
      <c r="O206" s="104" t="n">
        <f aca="false">$M$206+$N$206</f>
        <v>0</v>
      </c>
      <c r="P206" s="123"/>
      <c r="Q206" s="123"/>
      <c r="R206" s="123"/>
      <c r="S206" s="143"/>
      <c r="T206" s="5"/>
      <c r="U206" s="68"/>
      <c r="V206" s="68"/>
      <c r="W206" s="68"/>
      <c r="X206" s="68"/>
      <c r="Y206" s="68"/>
      <c r="Z206" s="68"/>
      <c r="AA206" s="68"/>
      <c r="AB206" s="68"/>
      <c r="AC206" s="68"/>
      <c r="AD206" s="68"/>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row>
    <row r="207" customFormat="false" ht="15" hidden="false" customHeight="true" outlineLevel="0" collapsed="false">
      <c r="A207" s="35" t="s">
        <v>24</v>
      </c>
      <c r="B207" s="37"/>
      <c r="C207" s="38"/>
      <c r="D207" s="147"/>
      <c r="E207" s="148"/>
      <c r="F207" s="42"/>
      <c r="G207" s="102"/>
      <c r="H207" s="103"/>
      <c r="I207" s="149" t="n">
        <f aca="false">$G$207+$H$207</f>
        <v>0</v>
      </c>
      <c r="J207" s="150"/>
      <c r="K207" s="103"/>
      <c r="L207" s="149" t="n">
        <f aca="false">$J$207+$K$207</f>
        <v>0</v>
      </c>
      <c r="M207" s="150"/>
      <c r="N207" s="103"/>
      <c r="O207" s="104" t="n">
        <f aca="false">$M$207+$N$207</f>
        <v>0</v>
      </c>
      <c r="P207" s="123"/>
      <c r="Q207" s="123"/>
      <c r="R207" s="123"/>
      <c r="S207" s="143"/>
      <c r="T207" s="5"/>
      <c r="U207" s="68"/>
      <c r="V207" s="68"/>
      <c r="W207" s="68"/>
      <c r="X207" s="68"/>
      <c r="Y207" s="68"/>
      <c r="Z207" s="68"/>
      <c r="AA207" s="68"/>
      <c r="AB207" s="68"/>
      <c r="AC207" s="68"/>
      <c r="AD207" s="68"/>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row>
    <row r="208" customFormat="false" ht="15" hidden="false" customHeight="true" outlineLevel="0" collapsed="false">
      <c r="A208" s="35" t="s">
        <v>25</v>
      </c>
      <c r="B208" s="37"/>
      <c r="C208" s="38"/>
      <c r="D208" s="147"/>
      <c r="E208" s="148"/>
      <c r="F208" s="42"/>
      <c r="G208" s="102"/>
      <c r="H208" s="103"/>
      <c r="I208" s="149" t="n">
        <f aca="false">$G$208+$H$208</f>
        <v>0</v>
      </c>
      <c r="J208" s="150"/>
      <c r="K208" s="103"/>
      <c r="L208" s="149" t="n">
        <f aca="false">$J$208+$K$208</f>
        <v>0</v>
      </c>
      <c r="M208" s="150"/>
      <c r="N208" s="103"/>
      <c r="O208" s="104" t="n">
        <f aca="false">$M$208+$N$208</f>
        <v>0</v>
      </c>
      <c r="P208" s="123"/>
      <c r="Q208" s="123"/>
      <c r="R208" s="123"/>
      <c r="S208" s="143"/>
      <c r="T208" s="5"/>
      <c r="U208" s="68"/>
      <c r="V208" s="68"/>
      <c r="W208" s="68"/>
      <c r="X208" s="68"/>
      <c r="Y208" s="68"/>
      <c r="Z208" s="68"/>
      <c r="AA208" s="68"/>
      <c r="AB208" s="68"/>
      <c r="AC208" s="68"/>
      <c r="AD208" s="68"/>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row>
    <row r="209" customFormat="false" ht="15" hidden="false" customHeight="true" outlineLevel="0" collapsed="false">
      <c r="A209" s="35" t="s">
        <v>26</v>
      </c>
      <c r="B209" s="37"/>
      <c r="C209" s="38"/>
      <c r="D209" s="147"/>
      <c r="E209" s="148"/>
      <c r="F209" s="42"/>
      <c r="G209" s="102"/>
      <c r="H209" s="103"/>
      <c r="I209" s="149" t="n">
        <f aca="false">$G$209+$H$209</f>
        <v>0</v>
      </c>
      <c r="J209" s="150"/>
      <c r="K209" s="103"/>
      <c r="L209" s="149" t="n">
        <f aca="false">$J$209+$K$209</f>
        <v>0</v>
      </c>
      <c r="M209" s="150"/>
      <c r="N209" s="103"/>
      <c r="O209" s="104" t="n">
        <f aca="false">$M$209+$N$209</f>
        <v>0</v>
      </c>
      <c r="P209" s="123"/>
      <c r="Q209" s="123"/>
      <c r="R209" s="123"/>
      <c r="S209" s="143"/>
      <c r="T209" s="5"/>
      <c r="U209" s="68"/>
      <c r="V209" s="68"/>
      <c r="W209" s="68"/>
      <c r="X209" s="68"/>
      <c r="Y209" s="68"/>
      <c r="Z209" s="68"/>
      <c r="AA209" s="68"/>
      <c r="AB209" s="68"/>
      <c r="AC209" s="68"/>
      <c r="AD209" s="68"/>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row>
    <row r="210" customFormat="false" ht="15" hidden="false" customHeight="true" outlineLevel="0" collapsed="false">
      <c r="A210" s="35" t="s">
        <v>27</v>
      </c>
      <c r="B210" s="37"/>
      <c r="C210" s="38"/>
      <c r="D210" s="147"/>
      <c r="E210" s="148"/>
      <c r="F210" s="42"/>
      <c r="G210" s="102"/>
      <c r="H210" s="103"/>
      <c r="I210" s="149" t="n">
        <f aca="false">$G$210+$H$210</f>
        <v>0</v>
      </c>
      <c r="J210" s="150"/>
      <c r="K210" s="103"/>
      <c r="L210" s="149" t="n">
        <f aca="false">$J$210+$K$210</f>
        <v>0</v>
      </c>
      <c r="M210" s="150"/>
      <c r="N210" s="103"/>
      <c r="O210" s="104" t="n">
        <f aca="false">$M$210+$N$210</f>
        <v>0</v>
      </c>
      <c r="P210" s="123"/>
      <c r="Q210" s="123"/>
      <c r="R210" s="123"/>
      <c r="S210" s="143"/>
      <c r="T210" s="5"/>
      <c r="U210" s="68"/>
      <c r="V210" s="68"/>
      <c r="W210" s="68"/>
      <c r="X210" s="68"/>
      <c r="Y210" s="68"/>
      <c r="Z210" s="68"/>
      <c r="AA210" s="68"/>
      <c r="AB210" s="68"/>
      <c r="AC210" s="68"/>
      <c r="AD210" s="68"/>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row>
    <row r="211" customFormat="false" ht="15" hidden="false" customHeight="true" outlineLevel="0" collapsed="false">
      <c r="A211" s="35" t="s">
        <v>28</v>
      </c>
      <c r="B211" s="37"/>
      <c r="C211" s="38"/>
      <c r="D211" s="109"/>
      <c r="E211" s="151"/>
      <c r="F211" s="49"/>
      <c r="G211" s="110"/>
      <c r="H211" s="111"/>
      <c r="I211" s="152" t="n">
        <f aca="false">$G$211+$H$211</f>
        <v>0</v>
      </c>
      <c r="J211" s="153"/>
      <c r="K211" s="111"/>
      <c r="L211" s="152" t="n">
        <f aca="false">$J$211+$K$211</f>
        <v>0</v>
      </c>
      <c r="M211" s="153"/>
      <c r="N211" s="111"/>
      <c r="O211" s="112" t="n">
        <f aca="false">$M$211+$N$211</f>
        <v>0</v>
      </c>
      <c r="P211" s="123"/>
      <c r="Q211" s="123"/>
      <c r="R211" s="123"/>
      <c r="S211" s="143"/>
      <c r="T211" s="5"/>
      <c r="U211" s="68"/>
      <c r="V211" s="68"/>
      <c r="W211" s="68"/>
      <c r="X211" s="68"/>
      <c r="Y211" s="68"/>
      <c r="Z211" s="68"/>
      <c r="AA211" s="68"/>
      <c r="AB211" s="68"/>
      <c r="AC211" s="68"/>
      <c r="AD211" s="68"/>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row>
    <row r="212" customFormat="false" ht="15" hidden="false" customHeight="true" outlineLevel="0" collapsed="false">
      <c r="A212" s="154" t="s">
        <v>17</v>
      </c>
      <c r="B212" s="155"/>
      <c r="C212" s="155"/>
      <c r="D212" s="155"/>
      <c r="E212" s="155"/>
      <c r="F212" s="156"/>
      <c r="G212" s="157" t="n">
        <f aca="false">SUM(G202:G211)</f>
        <v>0</v>
      </c>
      <c r="H212" s="158" t="n">
        <f aca="false">SUM(H202:H211)</f>
        <v>0</v>
      </c>
      <c r="I212" s="159" t="n">
        <f aca="false">SUM(I202:I211)</f>
        <v>0</v>
      </c>
      <c r="J212" s="160" t="n">
        <f aca="false">SUM(J202:J211)</f>
        <v>0</v>
      </c>
      <c r="K212" s="158" t="n">
        <f aca="false">SUM(K202:K211)</f>
        <v>0</v>
      </c>
      <c r="L212" s="159" t="n">
        <f aca="false">SUM(L202:L211)</f>
        <v>0</v>
      </c>
      <c r="M212" s="160" t="n">
        <f aca="false">SUM(M202:M211)</f>
        <v>0</v>
      </c>
      <c r="N212" s="158" t="n">
        <f aca="false">SUM(N202:N211)</f>
        <v>0</v>
      </c>
      <c r="O212" s="95" t="n">
        <f aca="false">SUM(O202:O211)</f>
        <v>0</v>
      </c>
      <c r="P212" s="123"/>
      <c r="Q212" s="123"/>
      <c r="R212" s="123"/>
      <c r="S212" s="143"/>
      <c r="T212" s="5"/>
      <c r="U212" s="68"/>
      <c r="V212" s="68"/>
      <c r="W212" s="68"/>
      <c r="X212" s="68"/>
      <c r="Y212" s="68"/>
      <c r="Z212" s="68"/>
      <c r="AA212" s="68"/>
      <c r="AB212" s="68"/>
      <c r="AC212" s="68"/>
      <c r="AD212" s="68"/>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row>
    <row r="213" customFormat="false" ht="15" hidden="false" customHeight="true" outlineLevel="0" collapsed="false">
      <c r="A213" s="161" t="s">
        <v>104</v>
      </c>
      <c r="B213" s="73"/>
      <c r="C213" s="73"/>
      <c r="D213" s="73"/>
      <c r="G213" s="162" t="str">
        <f aca="false">IF(G212=I$181,"OK","Confira quadro 1.1")</f>
        <v>OK</v>
      </c>
      <c r="H213" s="162" t="str">
        <f aca="false">IF(H212=J$181,"OK","Confira quadro 1.1")</f>
        <v>OK</v>
      </c>
      <c r="I213" s="162" t="str">
        <f aca="false">IF(I212=K$181,"OK","Confira quadro 1.1")</f>
        <v>OK</v>
      </c>
      <c r="J213" s="162" t="str">
        <f aca="false">IF(J212=L$181,"OK","Confira quadro 1.1")</f>
        <v>OK</v>
      </c>
      <c r="K213" s="162" t="str">
        <f aca="false">IF(K212=M$181,"OK","Confira quadro 1.1")</f>
        <v>OK</v>
      </c>
      <c r="L213" s="162" t="str">
        <f aca="false">IF(L212=N$181,"OK","Confira quadro 1.1")</f>
        <v>OK</v>
      </c>
      <c r="M213" s="162" t="str">
        <f aca="false">IF(M212=O$181,"OK","Confira quadro 1.1")</f>
        <v>OK</v>
      </c>
      <c r="N213" s="162" t="str">
        <f aca="false">IF(N212=P$181,"OK","Confira o Quandro 1.1")</f>
        <v>OK</v>
      </c>
      <c r="O213" s="162" t="str">
        <f aca="false">IF(O212=Q$181,"OK","Confira Quadro 1.1")</f>
        <v>OK</v>
      </c>
      <c r="P213" s="123"/>
      <c r="Q213" s="123"/>
      <c r="R213" s="123"/>
      <c r="S213" s="143"/>
      <c r="T213" s="5"/>
      <c r="U213" s="68"/>
      <c r="V213" s="68"/>
      <c r="W213" s="68"/>
      <c r="X213" s="68"/>
      <c r="Y213" s="68"/>
      <c r="Z213" s="68"/>
      <c r="AA213" s="68"/>
      <c r="AB213" s="68"/>
      <c r="AC213" s="68"/>
      <c r="AD213" s="68"/>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row>
    <row r="214" customFormat="false" ht="15" hidden="false" customHeight="true" outlineLevel="0" collapsed="false">
      <c r="A214" s="73" t="s">
        <v>105</v>
      </c>
      <c r="B214" s="73"/>
      <c r="C214" s="73"/>
      <c r="D214" s="73"/>
      <c r="F214" s="163"/>
      <c r="G214" s="163"/>
      <c r="Q214" s="123"/>
      <c r="R214" s="123"/>
      <c r="T214" s="5"/>
      <c r="U214" s="68"/>
      <c r="V214" s="68"/>
      <c r="W214" s="68"/>
      <c r="X214" s="68"/>
      <c r="Y214" s="68"/>
      <c r="Z214" s="68"/>
      <c r="AA214" s="68"/>
      <c r="AB214" s="68"/>
      <c r="AC214" s="68"/>
      <c r="AD214" s="68"/>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row>
    <row r="215" customFormat="false" ht="15" hidden="false" customHeight="true" outlineLevel="0" collapsed="false">
      <c r="A215" s="164" t="s">
        <v>106</v>
      </c>
      <c r="B215" s="73"/>
      <c r="C215" s="73"/>
      <c r="D215" s="73"/>
      <c r="Q215" s="123"/>
      <c r="R215" s="123"/>
      <c r="T215" s="5"/>
      <c r="U215" s="68"/>
      <c r="V215" s="68"/>
      <c r="W215" s="68"/>
      <c r="X215" s="68"/>
      <c r="Y215" s="68"/>
      <c r="Z215" s="68"/>
      <c r="AA215" s="68"/>
      <c r="AB215" s="68"/>
      <c r="AC215" s="68"/>
      <c r="AD215" s="68"/>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row>
    <row r="217" customFormat="false" ht="15" hidden="false" customHeight="true" outlineLevel="0" collapsed="false">
      <c r="A217" s="165" t="s">
        <v>107</v>
      </c>
      <c r="B217" s="165"/>
      <c r="C217" s="165"/>
      <c r="D217" s="165"/>
      <c r="E217" s="165"/>
      <c r="F217" s="165"/>
      <c r="G217" s="165"/>
      <c r="H217" s="165"/>
      <c r="I217" s="93"/>
      <c r="J217" s="93"/>
      <c r="K217" s="93"/>
      <c r="L217" s="166"/>
      <c r="M217" s="93"/>
      <c r="N217" s="93"/>
      <c r="O217" s="93"/>
      <c r="P217" s="93"/>
      <c r="T217" s="5"/>
      <c r="U217" s="68"/>
      <c r="V217" s="68"/>
      <c r="W217" s="68"/>
      <c r="X217" s="68"/>
      <c r="Y217" s="68"/>
      <c r="Z217" s="68"/>
      <c r="AA217" s="68"/>
      <c r="AB217" s="68"/>
      <c r="AC217" s="68"/>
      <c r="AD217" s="68"/>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row>
    <row r="218" customFormat="false" ht="15" hidden="false" customHeight="true" outlineLevel="0" collapsed="false">
      <c r="A218" s="88" t="s">
        <v>3</v>
      </c>
      <c r="B218" s="89" t="s">
        <v>5</v>
      </c>
      <c r="C218" s="89"/>
      <c r="D218" s="89" t="s">
        <v>6</v>
      </c>
      <c r="E218" s="88" t="s">
        <v>82</v>
      </c>
      <c r="F218" s="88" t="s">
        <v>108</v>
      </c>
      <c r="G218" s="88" t="s">
        <v>10</v>
      </c>
      <c r="H218" s="167" t="s">
        <v>109</v>
      </c>
      <c r="I218" s="167"/>
      <c r="J218" s="167"/>
      <c r="K218" s="88" t="s">
        <v>110</v>
      </c>
      <c r="L218" s="88"/>
      <c r="M218" s="88"/>
      <c r="N218" s="167" t="s">
        <v>111</v>
      </c>
      <c r="O218" s="167"/>
      <c r="P218" s="167"/>
      <c r="Q218" s="88" t="s">
        <v>112</v>
      </c>
      <c r="R218" s="88"/>
      <c r="S218" s="88"/>
      <c r="T218" s="5"/>
      <c r="U218" s="68"/>
      <c r="V218" s="68"/>
      <c r="W218" s="68"/>
      <c r="X218" s="68"/>
      <c r="Y218" s="68"/>
      <c r="Z218" s="68"/>
      <c r="AA218" s="68"/>
      <c r="AB218" s="68"/>
      <c r="AC218" s="68"/>
      <c r="AD218" s="68"/>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row>
    <row r="219" customFormat="false" ht="15" hidden="false" customHeight="true" outlineLevel="0" collapsed="false">
      <c r="A219" s="88"/>
      <c r="B219" s="89" t="s">
        <v>13</v>
      </c>
      <c r="C219" s="89" t="s">
        <v>14</v>
      </c>
      <c r="D219" s="89"/>
      <c r="E219" s="88"/>
      <c r="F219" s="88"/>
      <c r="G219" s="88"/>
      <c r="H219" s="168" t="s">
        <v>15</v>
      </c>
      <c r="I219" s="169" t="s">
        <v>16</v>
      </c>
      <c r="J219" s="170" t="s">
        <v>17</v>
      </c>
      <c r="K219" s="92" t="s">
        <v>15</v>
      </c>
      <c r="L219" s="90" t="s">
        <v>16</v>
      </c>
      <c r="M219" s="171" t="s">
        <v>17</v>
      </c>
      <c r="N219" s="168" t="s">
        <v>15</v>
      </c>
      <c r="O219" s="169" t="s">
        <v>16</v>
      </c>
      <c r="P219" s="170" t="s">
        <v>17</v>
      </c>
      <c r="Q219" s="92" t="s">
        <v>15</v>
      </c>
      <c r="R219" s="90" t="s">
        <v>16</v>
      </c>
      <c r="S219" s="172" t="s">
        <v>17</v>
      </c>
      <c r="T219" s="5"/>
      <c r="U219" s="68"/>
      <c r="V219" s="68"/>
      <c r="W219" s="68"/>
      <c r="X219" s="68"/>
      <c r="Y219" s="68"/>
      <c r="Z219" s="68"/>
      <c r="AA219" s="68"/>
      <c r="AB219" s="68"/>
      <c r="AC219" s="68"/>
      <c r="AD219" s="68"/>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row>
    <row r="220" customFormat="false" ht="15" hidden="false" customHeight="true" outlineLevel="0" collapsed="false">
      <c r="A220" s="22" t="s">
        <v>19</v>
      </c>
      <c r="B220" s="24"/>
      <c r="C220" s="25"/>
      <c r="D220" s="97"/>
      <c r="E220" s="96"/>
      <c r="F220" s="27"/>
      <c r="G220" s="29"/>
      <c r="H220" s="173" t="n">
        <v>0</v>
      </c>
      <c r="I220" s="174" t="n">
        <v>0</v>
      </c>
      <c r="J220" s="175" t="n">
        <f aca="false">$H$220+$I$220</f>
        <v>0</v>
      </c>
      <c r="K220" s="176" t="n">
        <v>0</v>
      </c>
      <c r="L220" s="174" t="n">
        <v>0</v>
      </c>
      <c r="M220" s="175" t="n">
        <f aca="false">$K$220+$L$220</f>
        <v>0</v>
      </c>
      <c r="N220" s="173" t="n">
        <v>0</v>
      </c>
      <c r="O220" s="174" t="n">
        <v>0</v>
      </c>
      <c r="P220" s="175" t="n">
        <f aca="false">$N$220+$O$220</f>
        <v>0</v>
      </c>
      <c r="Q220" s="176" t="n">
        <v>0</v>
      </c>
      <c r="R220" s="174" t="n">
        <v>0</v>
      </c>
      <c r="S220" s="175" t="n">
        <f aca="false">$Q$220+$R$220</f>
        <v>0</v>
      </c>
      <c r="T220" s="5"/>
      <c r="U220" s="68"/>
      <c r="V220" s="68"/>
      <c r="W220" s="68"/>
      <c r="X220" s="68"/>
      <c r="Y220" s="68"/>
      <c r="Z220" s="68"/>
      <c r="AA220" s="68"/>
      <c r="AB220" s="68"/>
      <c r="AC220" s="68"/>
      <c r="AD220" s="68"/>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row>
    <row r="221" customFormat="false" ht="15" hidden="false" customHeight="true" outlineLevel="0" collapsed="false">
      <c r="A221" s="35" t="s">
        <v>20</v>
      </c>
      <c r="B221" s="37"/>
      <c r="C221" s="38"/>
      <c r="D221" s="102"/>
      <c r="E221" s="101"/>
      <c r="F221" s="40"/>
      <c r="G221" s="42"/>
      <c r="H221" s="177" t="n">
        <v>0</v>
      </c>
      <c r="I221" s="178" t="n">
        <v>0</v>
      </c>
      <c r="J221" s="179" t="n">
        <f aca="false">$H$221+$I$221</f>
        <v>0</v>
      </c>
      <c r="K221" s="180" t="n">
        <v>0</v>
      </c>
      <c r="L221" s="178" t="n">
        <v>0</v>
      </c>
      <c r="M221" s="179" t="n">
        <f aca="false">$K$221+$L$221</f>
        <v>0</v>
      </c>
      <c r="N221" s="177" t="n">
        <v>0</v>
      </c>
      <c r="O221" s="178" t="n">
        <v>0</v>
      </c>
      <c r="P221" s="179" t="n">
        <f aca="false">$N$221+$O$221</f>
        <v>0</v>
      </c>
      <c r="Q221" s="180" t="n">
        <v>0</v>
      </c>
      <c r="R221" s="178" t="n">
        <v>0</v>
      </c>
      <c r="S221" s="179" t="n">
        <f aca="false">$Q$221+$R$221</f>
        <v>0</v>
      </c>
      <c r="AW221" s="5"/>
      <c r="AX221" s="5"/>
      <c r="AY221" s="5"/>
      <c r="AZ221" s="5"/>
      <c r="BA221" s="5"/>
      <c r="BB221" s="5"/>
      <c r="BC221" s="5"/>
      <c r="BD221" s="5"/>
      <c r="BE221" s="5"/>
      <c r="BF221" s="5"/>
      <c r="BG221" s="5"/>
    </row>
    <row r="222" customFormat="false" ht="15" hidden="false" customHeight="true" outlineLevel="0" collapsed="false">
      <c r="A222" s="35" t="s">
        <v>21</v>
      </c>
      <c r="B222" s="37"/>
      <c r="C222" s="38"/>
      <c r="D222" s="102"/>
      <c r="E222" s="101"/>
      <c r="F222" s="40"/>
      <c r="G222" s="42"/>
      <c r="H222" s="177" t="n">
        <v>0</v>
      </c>
      <c r="I222" s="178" t="n">
        <v>0</v>
      </c>
      <c r="J222" s="179" t="n">
        <f aca="false">$H$222+$I$222</f>
        <v>0</v>
      </c>
      <c r="K222" s="180" t="n">
        <v>0</v>
      </c>
      <c r="L222" s="178" t="n">
        <v>0</v>
      </c>
      <c r="M222" s="179" t="n">
        <f aca="false">$K$222+$L$222</f>
        <v>0</v>
      </c>
      <c r="N222" s="177" t="n">
        <v>0</v>
      </c>
      <c r="O222" s="178" t="n">
        <v>0</v>
      </c>
      <c r="P222" s="179" t="n">
        <f aca="false">$N$222+$O$222</f>
        <v>0</v>
      </c>
      <c r="Q222" s="180" t="n">
        <v>0</v>
      </c>
      <c r="R222" s="178" t="n">
        <v>0</v>
      </c>
      <c r="S222" s="179" t="n">
        <f aca="false">$Q$222+$R$222</f>
        <v>0</v>
      </c>
      <c r="AW222" s="5"/>
      <c r="AX222" s="5"/>
      <c r="AY222" s="5"/>
      <c r="AZ222" s="5"/>
      <c r="BA222" s="5"/>
      <c r="BB222" s="5"/>
      <c r="BC222" s="5"/>
      <c r="BD222" s="5"/>
      <c r="BE222" s="5"/>
      <c r="BF222" s="5"/>
      <c r="BG222" s="5"/>
    </row>
    <row r="223" customFormat="false" ht="15" hidden="false" customHeight="true" outlineLevel="0" collapsed="false">
      <c r="A223" s="35" t="s">
        <v>22</v>
      </c>
      <c r="B223" s="37"/>
      <c r="C223" s="38"/>
      <c r="D223" s="102"/>
      <c r="E223" s="101"/>
      <c r="F223" s="40"/>
      <c r="G223" s="42"/>
      <c r="H223" s="177" t="n">
        <v>0</v>
      </c>
      <c r="I223" s="178" t="n">
        <v>0</v>
      </c>
      <c r="J223" s="179" t="n">
        <f aca="false">$H$223+$I$223</f>
        <v>0</v>
      </c>
      <c r="K223" s="180" t="n">
        <v>0</v>
      </c>
      <c r="L223" s="178" t="n">
        <v>0</v>
      </c>
      <c r="M223" s="179" t="n">
        <f aca="false">$K$223+$L$223</f>
        <v>0</v>
      </c>
      <c r="N223" s="177" t="n">
        <v>0</v>
      </c>
      <c r="O223" s="178" t="n">
        <v>0</v>
      </c>
      <c r="P223" s="179" t="n">
        <f aca="false">$N$223+$O$223</f>
        <v>0</v>
      </c>
      <c r="Q223" s="180" t="n">
        <v>0</v>
      </c>
      <c r="R223" s="178" t="n">
        <v>0</v>
      </c>
      <c r="S223" s="179" t="n">
        <f aca="false">$Q$223+$R$223</f>
        <v>0</v>
      </c>
      <c r="AW223" s="5"/>
      <c r="AX223" s="5"/>
      <c r="AY223" s="5"/>
      <c r="AZ223" s="5"/>
      <c r="BA223" s="5"/>
      <c r="BB223" s="5"/>
      <c r="BC223" s="5"/>
      <c r="BD223" s="5"/>
      <c r="BE223" s="5"/>
      <c r="BF223" s="5"/>
      <c r="BG223" s="5"/>
    </row>
    <row r="224" customFormat="false" ht="15" hidden="false" customHeight="true" outlineLevel="0" collapsed="false">
      <c r="A224" s="35" t="s">
        <v>23</v>
      </c>
      <c r="B224" s="37"/>
      <c r="C224" s="38"/>
      <c r="D224" s="102"/>
      <c r="E224" s="101"/>
      <c r="F224" s="40"/>
      <c r="G224" s="42"/>
      <c r="H224" s="177" t="n">
        <v>0</v>
      </c>
      <c r="I224" s="178" t="n">
        <v>0</v>
      </c>
      <c r="J224" s="179" t="n">
        <f aca="false">$H$224+$I$224</f>
        <v>0</v>
      </c>
      <c r="K224" s="180" t="n">
        <v>0</v>
      </c>
      <c r="L224" s="178" t="n">
        <v>0</v>
      </c>
      <c r="M224" s="179" t="n">
        <f aca="false">$K$224+$L$224</f>
        <v>0</v>
      </c>
      <c r="N224" s="177" t="n">
        <v>0</v>
      </c>
      <c r="O224" s="178" t="n">
        <v>0</v>
      </c>
      <c r="P224" s="179" t="n">
        <f aca="false">$N$224+$O$224</f>
        <v>0</v>
      </c>
      <c r="Q224" s="180" t="n">
        <v>0</v>
      </c>
      <c r="R224" s="178" t="n">
        <v>0</v>
      </c>
      <c r="S224" s="179" t="n">
        <f aca="false">$Q$224+$R$224</f>
        <v>0</v>
      </c>
      <c r="U224" s="181" t="s">
        <v>113</v>
      </c>
      <c r="V224" s="182" t="s">
        <v>75</v>
      </c>
      <c r="AW224" s="5"/>
      <c r="AX224" s="5"/>
      <c r="AY224" s="5"/>
      <c r="AZ224" s="5"/>
      <c r="BA224" s="5"/>
      <c r="BB224" s="5"/>
      <c r="BC224" s="5"/>
      <c r="BD224" s="5"/>
      <c r="BE224" s="5"/>
      <c r="BF224" s="5"/>
      <c r="BG224" s="5"/>
    </row>
    <row r="225" customFormat="false" ht="15" hidden="false" customHeight="true" outlineLevel="0" collapsed="false">
      <c r="A225" s="35" t="s">
        <v>24</v>
      </c>
      <c r="B225" s="37"/>
      <c r="C225" s="38"/>
      <c r="D225" s="102"/>
      <c r="E225" s="101"/>
      <c r="F225" s="40"/>
      <c r="G225" s="42"/>
      <c r="H225" s="177" t="n">
        <v>0</v>
      </c>
      <c r="I225" s="178" t="n">
        <v>0</v>
      </c>
      <c r="J225" s="179" t="n">
        <f aca="false">$H$225+$I$225</f>
        <v>0</v>
      </c>
      <c r="K225" s="180" t="n">
        <v>0</v>
      </c>
      <c r="L225" s="178" t="n">
        <v>0</v>
      </c>
      <c r="M225" s="179" t="n">
        <f aca="false">$K$225+$L$225</f>
        <v>0</v>
      </c>
      <c r="N225" s="177" t="n">
        <v>0</v>
      </c>
      <c r="O225" s="178" t="n">
        <v>0</v>
      </c>
      <c r="P225" s="179" t="n">
        <f aca="false">$N$225+$O$225</f>
        <v>0</v>
      </c>
      <c r="Q225" s="180" t="n">
        <v>0</v>
      </c>
      <c r="R225" s="178" t="n">
        <v>0</v>
      </c>
      <c r="S225" s="179" t="n">
        <f aca="false">$Q$225+$R$225</f>
        <v>0</v>
      </c>
      <c r="U225" s="183" t="n">
        <v>1</v>
      </c>
      <c r="V225" s="184" t="s">
        <v>114</v>
      </c>
      <c r="W225" s="185"/>
      <c r="X225" s="185"/>
      <c r="AW225" s="5"/>
      <c r="AX225" s="5"/>
      <c r="AY225" s="5"/>
      <c r="AZ225" s="5"/>
      <c r="BA225" s="5"/>
      <c r="BB225" s="5"/>
      <c r="BC225" s="5"/>
      <c r="BD225" s="5"/>
      <c r="BE225" s="5"/>
      <c r="BF225" s="5"/>
      <c r="BG225" s="5"/>
    </row>
    <row r="226" customFormat="false" ht="15" hidden="false" customHeight="true" outlineLevel="0" collapsed="false">
      <c r="A226" s="35" t="s">
        <v>25</v>
      </c>
      <c r="B226" s="37"/>
      <c r="C226" s="38"/>
      <c r="D226" s="102"/>
      <c r="E226" s="101"/>
      <c r="F226" s="40"/>
      <c r="G226" s="42"/>
      <c r="H226" s="177" t="n">
        <v>0</v>
      </c>
      <c r="I226" s="178" t="n">
        <v>0</v>
      </c>
      <c r="J226" s="179" t="n">
        <f aca="false">$H$226+$I$226</f>
        <v>0</v>
      </c>
      <c r="K226" s="180" t="n">
        <v>0</v>
      </c>
      <c r="L226" s="178" t="n">
        <v>0</v>
      </c>
      <c r="M226" s="179" t="n">
        <f aca="false">$K$226+$L$226</f>
        <v>0</v>
      </c>
      <c r="N226" s="177" t="n">
        <v>0</v>
      </c>
      <c r="O226" s="178" t="n">
        <v>0</v>
      </c>
      <c r="P226" s="179" t="n">
        <f aca="false">$N$226+$O$226</f>
        <v>0</v>
      </c>
      <c r="Q226" s="180" t="n">
        <v>0</v>
      </c>
      <c r="R226" s="178" t="n">
        <v>0</v>
      </c>
      <c r="S226" s="179" t="n">
        <f aca="false">$Q$226+$R$226</f>
        <v>0</v>
      </c>
      <c r="U226" s="183" t="n">
        <v>2</v>
      </c>
      <c r="V226" s="184" t="s">
        <v>115</v>
      </c>
      <c r="W226" s="185"/>
      <c r="X226" s="185"/>
      <c r="AW226" s="5"/>
      <c r="AX226" s="5"/>
      <c r="AY226" s="5"/>
      <c r="AZ226" s="5"/>
      <c r="BA226" s="5"/>
      <c r="BB226" s="5"/>
      <c r="BC226" s="5"/>
      <c r="BD226" s="5"/>
      <c r="BE226" s="5"/>
      <c r="BF226" s="5"/>
      <c r="BG226" s="5"/>
    </row>
    <row r="227" customFormat="false" ht="15" hidden="false" customHeight="true" outlineLevel="0" collapsed="false">
      <c r="A227" s="35" t="s">
        <v>26</v>
      </c>
      <c r="B227" s="37"/>
      <c r="C227" s="38"/>
      <c r="D227" s="102"/>
      <c r="E227" s="101"/>
      <c r="F227" s="40"/>
      <c r="G227" s="42"/>
      <c r="H227" s="177" t="n">
        <v>0</v>
      </c>
      <c r="I227" s="178" t="n">
        <v>0</v>
      </c>
      <c r="J227" s="179" t="n">
        <f aca="false">$H$227+$I$227</f>
        <v>0</v>
      </c>
      <c r="K227" s="180" t="n">
        <v>0</v>
      </c>
      <c r="L227" s="178" t="n">
        <v>0</v>
      </c>
      <c r="M227" s="179" t="n">
        <f aca="false">$K$227+$L$227</f>
        <v>0</v>
      </c>
      <c r="N227" s="177" t="n">
        <v>0</v>
      </c>
      <c r="O227" s="178" t="n">
        <v>0</v>
      </c>
      <c r="P227" s="179" t="n">
        <f aca="false">$N$227+$O$227</f>
        <v>0</v>
      </c>
      <c r="Q227" s="180" t="n">
        <v>0</v>
      </c>
      <c r="R227" s="178" t="n">
        <v>0</v>
      </c>
      <c r="S227" s="179" t="n">
        <f aca="false">$Q$227+$R$227</f>
        <v>0</v>
      </c>
      <c r="U227" s="183" t="n">
        <v>3</v>
      </c>
      <c r="V227" s="184" t="s">
        <v>116</v>
      </c>
      <c r="W227" s="185"/>
      <c r="X227" s="185"/>
      <c r="AW227" s="5"/>
      <c r="AX227" s="5"/>
      <c r="AY227" s="5"/>
      <c r="AZ227" s="5"/>
      <c r="BA227" s="5"/>
      <c r="BB227" s="5"/>
      <c r="BC227" s="5"/>
      <c r="BD227" s="5"/>
      <c r="BE227" s="5"/>
      <c r="BF227" s="5"/>
      <c r="BG227" s="5"/>
    </row>
    <row r="228" customFormat="false" ht="15" hidden="false" customHeight="true" outlineLevel="0" collapsed="false">
      <c r="A228" s="35" t="s">
        <v>27</v>
      </c>
      <c r="B228" s="37"/>
      <c r="C228" s="38"/>
      <c r="D228" s="102"/>
      <c r="E228" s="101"/>
      <c r="F228" s="40"/>
      <c r="G228" s="42"/>
      <c r="H228" s="177" t="n">
        <v>0</v>
      </c>
      <c r="I228" s="178" t="n">
        <v>0</v>
      </c>
      <c r="J228" s="179" t="n">
        <f aca="false">$H$228+$I$228</f>
        <v>0</v>
      </c>
      <c r="K228" s="180" t="n">
        <v>0</v>
      </c>
      <c r="L228" s="178" t="n">
        <v>0</v>
      </c>
      <c r="M228" s="179" t="n">
        <f aca="false">$K$228+$L$228</f>
        <v>0</v>
      </c>
      <c r="N228" s="177" t="n">
        <v>0</v>
      </c>
      <c r="O228" s="178" t="n">
        <v>0</v>
      </c>
      <c r="P228" s="179" t="n">
        <f aca="false">$N$228+$O$228</f>
        <v>0</v>
      </c>
      <c r="Q228" s="180" t="n">
        <v>0</v>
      </c>
      <c r="R228" s="178" t="n">
        <v>0</v>
      </c>
      <c r="S228" s="179" t="n">
        <f aca="false">$Q$228+$R$228</f>
        <v>0</v>
      </c>
      <c r="U228" s="185" t="n">
        <v>4</v>
      </c>
      <c r="V228" s="185" t="s">
        <v>117</v>
      </c>
      <c r="W228" s="185"/>
      <c r="X228" s="185"/>
      <c r="AW228" s="5"/>
      <c r="AX228" s="5"/>
      <c r="AY228" s="5"/>
      <c r="AZ228" s="5"/>
      <c r="BA228" s="5"/>
      <c r="BB228" s="5"/>
      <c r="BC228" s="5"/>
      <c r="BD228" s="5"/>
      <c r="BE228" s="5"/>
      <c r="BF228" s="5"/>
      <c r="BG228" s="5"/>
    </row>
    <row r="229" customFormat="false" ht="15" hidden="false" customHeight="true" outlineLevel="0" collapsed="false">
      <c r="A229" s="35" t="s">
        <v>28</v>
      </c>
      <c r="B229" s="37"/>
      <c r="C229" s="38"/>
      <c r="D229" s="102"/>
      <c r="E229" s="101"/>
      <c r="F229" s="40"/>
      <c r="G229" s="49"/>
      <c r="H229" s="177" t="n">
        <v>0</v>
      </c>
      <c r="I229" s="178" t="n">
        <v>0</v>
      </c>
      <c r="J229" s="179" t="n">
        <f aca="false">$H$229+$I$229</f>
        <v>0</v>
      </c>
      <c r="K229" s="180" t="n">
        <v>0</v>
      </c>
      <c r="L229" s="178" t="n">
        <v>0</v>
      </c>
      <c r="M229" s="179" t="n">
        <f aca="false">$K$229+$L$229</f>
        <v>0</v>
      </c>
      <c r="N229" s="177" t="n">
        <v>0</v>
      </c>
      <c r="O229" s="178" t="n">
        <v>0</v>
      </c>
      <c r="P229" s="179" t="n">
        <f aca="false">$N$229+$O$229</f>
        <v>0</v>
      </c>
      <c r="Q229" s="180" t="n">
        <v>0</v>
      </c>
      <c r="R229" s="178" t="n">
        <v>0</v>
      </c>
      <c r="S229" s="179" t="n">
        <f aca="false">$Q$229+$R$229</f>
        <v>0</v>
      </c>
      <c r="U229" s="185" t="n">
        <v>5</v>
      </c>
      <c r="V229" s="185" t="s">
        <v>118</v>
      </c>
      <c r="W229" s="185"/>
      <c r="X229" s="185"/>
      <c r="AW229" s="5"/>
      <c r="AX229" s="5"/>
      <c r="AY229" s="5"/>
      <c r="AZ229" s="5"/>
      <c r="BA229" s="5"/>
      <c r="BB229" s="5"/>
      <c r="BC229" s="5"/>
      <c r="BD229" s="5"/>
      <c r="BE229" s="5"/>
      <c r="BF229" s="5"/>
      <c r="BG229" s="5"/>
    </row>
    <row r="230" customFormat="false" ht="15" hidden="false" customHeight="true" outlineLevel="0" collapsed="false">
      <c r="A230" s="154" t="s">
        <v>17</v>
      </c>
      <c r="B230" s="186"/>
      <c r="C230" s="186"/>
      <c r="D230" s="186"/>
      <c r="E230" s="186"/>
      <c r="F230" s="187"/>
      <c r="G230" s="188"/>
      <c r="H230" s="189" t="n">
        <f aca="false">SUM(H220:H229)</f>
        <v>0</v>
      </c>
      <c r="I230" s="190" t="n">
        <f aca="false">SUM(I220:I229)</f>
        <v>0</v>
      </c>
      <c r="J230" s="191" t="n">
        <f aca="false">SUM(J220:J229)</f>
        <v>0</v>
      </c>
      <c r="K230" s="188" t="n">
        <f aca="false">SUM(K220:K229)</f>
        <v>0</v>
      </c>
      <c r="L230" s="119" t="n">
        <f aca="false">SUM(L220:L229)</f>
        <v>0</v>
      </c>
      <c r="M230" s="192" t="n">
        <f aca="false">SUM(M220:M229)</f>
        <v>0</v>
      </c>
      <c r="N230" s="189" t="n">
        <f aca="false">SUM(N220:N229)</f>
        <v>0</v>
      </c>
      <c r="O230" s="190" t="n">
        <f aca="false">SUM(O220:O229)</f>
        <v>0</v>
      </c>
      <c r="P230" s="193" t="n">
        <f aca="false">SUM(P220:P229)</f>
        <v>0</v>
      </c>
      <c r="Q230" s="188" t="n">
        <f aca="false">SUM(Q220:Q229)</f>
        <v>0</v>
      </c>
      <c r="R230" s="119" t="n">
        <f aca="false">SUM(R220:R229)</f>
        <v>0</v>
      </c>
      <c r="S230" s="194" t="n">
        <f aca="false">SUM(S220:S229)</f>
        <v>0</v>
      </c>
      <c r="AW230" s="5"/>
      <c r="AX230" s="5"/>
      <c r="AY230" s="5"/>
      <c r="AZ230" s="5"/>
      <c r="BA230" s="5"/>
      <c r="BB230" s="5"/>
      <c r="BC230" s="5"/>
      <c r="BD230" s="5"/>
      <c r="BE230" s="5"/>
      <c r="BF230" s="5"/>
      <c r="BG230" s="5"/>
    </row>
    <row r="231" customFormat="false" ht="15" hidden="false" customHeight="true" outlineLevel="0" collapsed="false">
      <c r="A231" s="195" t="s">
        <v>119</v>
      </c>
      <c r="B231" s="195"/>
      <c r="C231" s="195"/>
      <c r="D231" s="195"/>
      <c r="E231" s="195"/>
      <c r="F231" s="73"/>
      <c r="G231" s="196"/>
      <c r="H231" s="196"/>
      <c r="I231" s="196"/>
      <c r="J231" s="196"/>
      <c r="K231" s="197"/>
      <c r="L231" s="198"/>
      <c r="M231" s="198"/>
      <c r="N231" s="198"/>
      <c r="O231" s="198"/>
      <c r="P231" s="198"/>
      <c r="Q231" s="198"/>
      <c r="R231" s="198"/>
      <c r="S231" s="198"/>
      <c r="T231" s="73"/>
      <c r="U231" s="199"/>
      <c r="V231" s="199"/>
      <c r="W231" s="199"/>
      <c r="X231" s="199"/>
      <c r="Y231" s="199"/>
      <c r="Z231" s="199"/>
      <c r="AA231" s="199"/>
      <c r="AB231" s="199"/>
      <c r="AC231" s="199"/>
      <c r="AD231" s="199"/>
      <c r="AE231" s="200"/>
      <c r="AF231" s="200"/>
      <c r="AG231" s="200"/>
      <c r="AH231" s="200"/>
      <c r="AI231" s="200"/>
      <c r="AJ231" s="200"/>
      <c r="AK231" s="200"/>
      <c r="AL231" s="200"/>
      <c r="AM231" s="200"/>
      <c r="AN231" s="200"/>
      <c r="AO231" s="200"/>
      <c r="AP231" s="200"/>
      <c r="AQ231" s="200"/>
      <c r="AR231" s="200"/>
      <c r="AS231" s="200"/>
      <c r="AT231" s="200"/>
      <c r="AU231" s="200"/>
      <c r="AV231" s="200"/>
      <c r="AW231" s="201"/>
      <c r="AX231" s="201"/>
      <c r="AY231" s="201"/>
      <c r="AZ231" s="201"/>
      <c r="BA231" s="201"/>
      <c r="BB231" s="201"/>
      <c r="BC231" s="201"/>
      <c r="BD231" s="201"/>
      <c r="BE231" s="201"/>
      <c r="BF231" s="201"/>
      <c r="BG231" s="201"/>
      <c r="BH231" s="201"/>
      <c r="BI231" s="201"/>
      <c r="BJ231" s="201"/>
      <c r="BK231" s="201"/>
      <c r="BL231" s="201"/>
      <c r="BM231" s="201"/>
      <c r="BN231" s="201"/>
      <c r="BO231" s="201"/>
      <c r="BP231" s="201"/>
      <c r="BQ231" s="201"/>
      <c r="BR231" s="201"/>
      <c r="BS231" s="201"/>
      <c r="BT231" s="201"/>
      <c r="BU231" s="201"/>
      <c r="BV231" s="201"/>
      <c r="BW231" s="201"/>
      <c r="BX231" s="201"/>
      <c r="BY231" s="201"/>
      <c r="BZ231" s="201"/>
      <c r="CA231" s="201"/>
      <c r="CB231" s="201"/>
      <c r="CC231" s="201"/>
      <c r="CD231" s="201"/>
      <c r="CE231" s="201"/>
      <c r="CF231" s="201"/>
      <c r="CG231" s="201"/>
      <c r="CH231" s="201"/>
      <c r="CI231" s="201"/>
      <c r="CJ231" s="201"/>
      <c r="CK231" s="201"/>
      <c r="CL231" s="201"/>
      <c r="CM231" s="201"/>
      <c r="CN231" s="201"/>
      <c r="CO231" s="201"/>
      <c r="CP231" s="201"/>
      <c r="CQ231" s="201"/>
      <c r="CR231" s="201"/>
      <c r="CS231" s="201"/>
      <c r="CT231" s="201"/>
      <c r="CU231" s="201"/>
      <c r="CV231" s="201"/>
      <c r="CW231" s="201"/>
      <c r="CX231" s="201"/>
      <c r="CY231" s="201"/>
      <c r="CZ231" s="201"/>
      <c r="DA231" s="201"/>
      <c r="DB231" s="201"/>
      <c r="DC231" s="201"/>
      <c r="DD231" s="201"/>
      <c r="DE231" s="201"/>
      <c r="DF231" s="201"/>
      <c r="DG231" s="201"/>
      <c r="DH231" s="201"/>
      <c r="DI231" s="201"/>
      <c r="DJ231" s="201"/>
      <c r="DK231" s="201"/>
      <c r="DL231" s="201"/>
      <c r="DM231" s="201"/>
      <c r="DN231" s="201"/>
      <c r="DO231" s="201"/>
      <c r="DP231" s="201"/>
      <c r="DQ231" s="201"/>
      <c r="DR231" s="201"/>
      <c r="DS231" s="201"/>
      <c r="DT231" s="201"/>
      <c r="DU231" s="201"/>
      <c r="DV231" s="201"/>
      <c r="DW231" s="201"/>
      <c r="DX231" s="201"/>
      <c r="DY231" s="201"/>
      <c r="DZ231" s="201"/>
      <c r="EA231" s="201"/>
      <c r="EB231" s="201"/>
      <c r="EC231" s="201"/>
      <c r="ED231" s="201"/>
      <c r="EE231" s="201"/>
      <c r="EF231" s="201"/>
      <c r="EG231" s="201"/>
      <c r="EH231" s="201"/>
      <c r="EI231" s="201"/>
      <c r="EJ231" s="201"/>
      <c r="EK231" s="201"/>
      <c r="EL231" s="201"/>
      <c r="EM231" s="201"/>
      <c r="EN231" s="201"/>
      <c r="EO231" s="201"/>
      <c r="EP231" s="201"/>
      <c r="EQ231" s="201"/>
      <c r="ER231" s="201"/>
      <c r="ES231" s="201"/>
      <c r="ET231" s="201"/>
      <c r="EU231" s="201"/>
      <c r="EV231" s="201"/>
      <c r="EW231" s="201"/>
      <c r="EX231" s="201"/>
      <c r="EY231" s="201"/>
      <c r="EZ231" s="201"/>
      <c r="FA231" s="201"/>
      <c r="FB231" s="201"/>
      <c r="FC231" s="201"/>
      <c r="FD231" s="201"/>
      <c r="FE231" s="201"/>
      <c r="FF231" s="201"/>
      <c r="FG231" s="201"/>
      <c r="FH231" s="201"/>
      <c r="FI231" s="201"/>
      <c r="FJ231" s="201"/>
      <c r="FK231" s="201"/>
      <c r="FL231" s="201"/>
      <c r="FM231" s="201"/>
      <c r="FN231" s="201"/>
      <c r="FO231" s="201"/>
      <c r="FP231" s="201"/>
      <c r="FQ231" s="201"/>
      <c r="FR231" s="201"/>
      <c r="FS231" s="201"/>
      <c r="FT231" s="201"/>
      <c r="FU231" s="201"/>
      <c r="FV231" s="201"/>
      <c r="FW231" s="201"/>
      <c r="FX231" s="201"/>
      <c r="FY231" s="201"/>
      <c r="FZ231" s="201"/>
      <c r="GA231" s="201"/>
      <c r="GB231" s="201"/>
      <c r="GC231" s="201"/>
      <c r="GD231" s="201"/>
      <c r="GE231" s="201"/>
      <c r="GF231" s="201"/>
      <c r="GG231" s="201"/>
      <c r="GH231" s="201"/>
      <c r="GI231" s="201"/>
      <c r="GJ231" s="201"/>
      <c r="GK231" s="201"/>
      <c r="GL231" s="201"/>
      <c r="GM231" s="201"/>
      <c r="GN231" s="201"/>
      <c r="GO231" s="201"/>
      <c r="GP231" s="201"/>
      <c r="GQ231" s="201"/>
      <c r="GR231" s="201"/>
      <c r="GS231" s="201"/>
      <c r="GT231" s="201"/>
      <c r="GU231" s="201"/>
      <c r="GV231" s="201"/>
      <c r="GW231" s="201"/>
      <c r="GX231" s="201"/>
      <c r="GY231" s="201"/>
      <c r="GZ231" s="201"/>
      <c r="HA231" s="201"/>
      <c r="HB231" s="201"/>
      <c r="HC231" s="201"/>
      <c r="HD231" s="201"/>
      <c r="HE231" s="201"/>
      <c r="HF231" s="201"/>
      <c r="HG231" s="201"/>
      <c r="HH231" s="201"/>
      <c r="HI231" s="201"/>
      <c r="HJ231" s="201"/>
      <c r="HK231" s="201"/>
      <c r="HL231" s="201"/>
      <c r="HM231" s="201"/>
      <c r="HN231" s="201"/>
      <c r="HO231" s="201"/>
      <c r="HP231" s="201"/>
      <c r="HQ231" s="201"/>
      <c r="HR231" s="201"/>
      <c r="HS231" s="201"/>
      <c r="HT231" s="201"/>
      <c r="HU231" s="201"/>
      <c r="HV231" s="201"/>
      <c r="HW231" s="201"/>
      <c r="HX231" s="201"/>
      <c r="HY231" s="201"/>
      <c r="HZ231" s="201"/>
      <c r="IA231" s="201"/>
      <c r="IB231" s="201"/>
      <c r="IC231" s="201"/>
      <c r="ID231" s="201"/>
      <c r="IE231" s="201"/>
      <c r="IF231" s="201"/>
      <c r="IG231" s="201"/>
      <c r="IH231" s="201"/>
      <c r="II231" s="201"/>
      <c r="IJ231" s="201"/>
      <c r="IK231" s="201"/>
      <c r="IL231" s="201"/>
      <c r="IM231" s="201"/>
      <c r="IN231" s="201"/>
      <c r="IO231" s="201"/>
      <c r="IP231" s="201"/>
      <c r="IQ231" s="201"/>
      <c r="IR231" s="201"/>
      <c r="IS231" s="201"/>
      <c r="IT231" s="201"/>
      <c r="IU231" s="201"/>
      <c r="IV231" s="201"/>
      <c r="IW231" s="201"/>
    </row>
    <row r="232" customFormat="false" ht="15" hidden="false" customHeight="true" outlineLevel="0" collapsed="false">
      <c r="A232" s="195"/>
      <c r="B232" s="195"/>
      <c r="C232" s="195"/>
      <c r="D232" s="195"/>
      <c r="E232" s="195"/>
      <c r="F232" s="73"/>
      <c r="G232" s="196"/>
      <c r="H232" s="196"/>
      <c r="I232" s="196"/>
      <c r="J232" s="196"/>
      <c r="K232" s="197"/>
      <c r="L232" s="198"/>
      <c r="M232" s="198"/>
      <c r="N232" s="198"/>
      <c r="O232" s="198"/>
      <c r="P232" s="198"/>
      <c r="Q232" s="198"/>
      <c r="R232" s="198"/>
      <c r="S232" s="198"/>
      <c r="T232" s="73"/>
      <c r="U232" s="199"/>
      <c r="V232" s="199"/>
      <c r="W232" s="199"/>
      <c r="X232" s="199"/>
      <c r="Y232" s="199"/>
      <c r="Z232" s="199"/>
      <c r="AA232" s="199"/>
      <c r="AB232" s="199"/>
      <c r="AC232" s="199"/>
      <c r="AD232" s="199"/>
      <c r="AE232" s="200"/>
      <c r="AF232" s="200"/>
      <c r="AG232" s="200"/>
      <c r="AH232" s="200"/>
      <c r="AI232" s="200"/>
      <c r="AJ232" s="200"/>
      <c r="AK232" s="200"/>
      <c r="AL232" s="200"/>
      <c r="AM232" s="200"/>
      <c r="AN232" s="200"/>
      <c r="AO232" s="200"/>
      <c r="AP232" s="200"/>
      <c r="AQ232" s="200"/>
      <c r="AR232" s="200"/>
      <c r="AS232" s="200"/>
      <c r="AT232" s="200"/>
      <c r="AU232" s="200"/>
      <c r="AV232" s="200"/>
      <c r="AW232" s="201"/>
      <c r="AX232" s="201"/>
      <c r="AY232" s="201"/>
      <c r="AZ232" s="201"/>
      <c r="BA232" s="201"/>
      <c r="BB232" s="201"/>
      <c r="BC232" s="201"/>
      <c r="BD232" s="201"/>
      <c r="BE232" s="201"/>
      <c r="BF232" s="201"/>
      <c r="BG232" s="201"/>
      <c r="BH232" s="201"/>
      <c r="BI232" s="201"/>
      <c r="BJ232" s="201"/>
      <c r="BK232" s="201"/>
      <c r="BL232" s="201"/>
      <c r="BM232" s="201"/>
      <c r="BN232" s="201"/>
      <c r="BO232" s="201"/>
      <c r="BP232" s="201"/>
      <c r="BQ232" s="201"/>
      <c r="BR232" s="201"/>
      <c r="BS232" s="201"/>
      <c r="BT232" s="201"/>
      <c r="BU232" s="201"/>
      <c r="BV232" s="201"/>
      <c r="BW232" s="201"/>
      <c r="BX232" s="201"/>
      <c r="BY232" s="201"/>
      <c r="BZ232" s="201"/>
      <c r="CA232" s="201"/>
      <c r="CB232" s="201"/>
      <c r="CC232" s="201"/>
      <c r="CD232" s="201"/>
      <c r="CE232" s="201"/>
      <c r="CF232" s="201"/>
      <c r="CG232" s="201"/>
      <c r="CH232" s="201"/>
      <c r="CI232" s="201"/>
      <c r="CJ232" s="201"/>
      <c r="CK232" s="201"/>
      <c r="CL232" s="201"/>
      <c r="CM232" s="201"/>
      <c r="CN232" s="201"/>
      <c r="CO232" s="201"/>
      <c r="CP232" s="201"/>
      <c r="CQ232" s="201"/>
      <c r="CR232" s="201"/>
      <c r="CS232" s="201"/>
      <c r="CT232" s="201"/>
      <c r="CU232" s="201"/>
      <c r="CV232" s="201"/>
      <c r="CW232" s="201"/>
      <c r="CX232" s="201"/>
      <c r="CY232" s="201"/>
      <c r="CZ232" s="201"/>
      <c r="DA232" s="201"/>
      <c r="DB232" s="201"/>
      <c r="DC232" s="201"/>
      <c r="DD232" s="201"/>
      <c r="DE232" s="201"/>
      <c r="DF232" s="201"/>
      <c r="DG232" s="201"/>
      <c r="DH232" s="201"/>
      <c r="DI232" s="201"/>
      <c r="DJ232" s="201"/>
      <c r="DK232" s="201"/>
      <c r="DL232" s="201"/>
      <c r="DM232" s="201"/>
      <c r="DN232" s="201"/>
      <c r="DO232" s="201"/>
      <c r="DP232" s="201"/>
      <c r="DQ232" s="201"/>
      <c r="DR232" s="201"/>
      <c r="DS232" s="201"/>
      <c r="DT232" s="201"/>
      <c r="DU232" s="201"/>
      <c r="DV232" s="201"/>
      <c r="DW232" s="201"/>
      <c r="DX232" s="201"/>
      <c r="DY232" s="201"/>
      <c r="DZ232" s="201"/>
      <c r="EA232" s="201"/>
      <c r="EB232" s="201"/>
      <c r="EC232" s="201"/>
      <c r="ED232" s="201"/>
      <c r="EE232" s="201"/>
      <c r="EF232" s="201"/>
      <c r="EG232" s="201"/>
      <c r="EH232" s="201"/>
      <c r="EI232" s="201"/>
      <c r="EJ232" s="201"/>
      <c r="EK232" s="201"/>
      <c r="EL232" s="201"/>
      <c r="EM232" s="201"/>
      <c r="EN232" s="201"/>
      <c r="EO232" s="201"/>
      <c r="EP232" s="201"/>
      <c r="EQ232" s="201"/>
      <c r="ER232" s="201"/>
      <c r="ES232" s="201"/>
      <c r="ET232" s="201"/>
      <c r="EU232" s="201"/>
      <c r="EV232" s="201"/>
      <c r="EW232" s="201"/>
      <c r="EX232" s="201"/>
      <c r="EY232" s="201"/>
      <c r="EZ232" s="201"/>
      <c r="FA232" s="201"/>
      <c r="FB232" s="201"/>
      <c r="FC232" s="201"/>
      <c r="FD232" s="201"/>
      <c r="FE232" s="201"/>
      <c r="FF232" s="201"/>
      <c r="FG232" s="201"/>
      <c r="FH232" s="201"/>
      <c r="FI232" s="201"/>
      <c r="FJ232" s="201"/>
      <c r="FK232" s="201"/>
      <c r="FL232" s="201"/>
      <c r="FM232" s="201"/>
      <c r="FN232" s="201"/>
      <c r="FO232" s="201"/>
      <c r="FP232" s="201"/>
      <c r="FQ232" s="201"/>
      <c r="FR232" s="201"/>
      <c r="FS232" s="201"/>
      <c r="FT232" s="201"/>
      <c r="FU232" s="201"/>
      <c r="FV232" s="201"/>
      <c r="FW232" s="201"/>
      <c r="FX232" s="201"/>
      <c r="FY232" s="201"/>
      <c r="FZ232" s="201"/>
      <c r="GA232" s="201"/>
      <c r="GB232" s="201"/>
      <c r="GC232" s="201"/>
      <c r="GD232" s="201"/>
      <c r="GE232" s="201"/>
      <c r="GF232" s="201"/>
      <c r="GG232" s="201"/>
      <c r="GH232" s="201"/>
      <c r="GI232" s="201"/>
      <c r="GJ232" s="201"/>
      <c r="GK232" s="201"/>
      <c r="GL232" s="201"/>
      <c r="GM232" s="201"/>
      <c r="GN232" s="201"/>
      <c r="GO232" s="201"/>
      <c r="GP232" s="201"/>
      <c r="GQ232" s="201"/>
      <c r="GR232" s="201"/>
      <c r="GS232" s="201"/>
      <c r="GT232" s="201"/>
      <c r="GU232" s="201"/>
      <c r="GV232" s="201"/>
      <c r="GW232" s="201"/>
      <c r="GX232" s="201"/>
      <c r="GY232" s="201"/>
      <c r="GZ232" s="201"/>
      <c r="HA232" s="201"/>
      <c r="HB232" s="201"/>
      <c r="HC232" s="201"/>
      <c r="HD232" s="201"/>
      <c r="HE232" s="201"/>
      <c r="HF232" s="201"/>
      <c r="HG232" s="201"/>
      <c r="HH232" s="201"/>
      <c r="HI232" s="201"/>
      <c r="HJ232" s="201"/>
      <c r="HK232" s="201"/>
      <c r="HL232" s="201"/>
      <c r="HM232" s="201"/>
      <c r="HN232" s="201"/>
      <c r="HO232" s="201"/>
      <c r="HP232" s="201"/>
      <c r="HQ232" s="201"/>
      <c r="HR232" s="201"/>
      <c r="HS232" s="201"/>
      <c r="HT232" s="201"/>
      <c r="HU232" s="201"/>
      <c r="HV232" s="201"/>
      <c r="HW232" s="201"/>
      <c r="HX232" s="201"/>
      <c r="HY232" s="201"/>
      <c r="HZ232" s="201"/>
      <c r="IA232" s="201"/>
      <c r="IB232" s="201"/>
      <c r="IC232" s="201"/>
      <c r="ID232" s="201"/>
      <c r="IE232" s="201"/>
      <c r="IF232" s="201"/>
      <c r="IG232" s="201"/>
      <c r="IH232" s="201"/>
      <c r="II232" s="201"/>
      <c r="IJ232" s="201"/>
      <c r="IK232" s="201"/>
      <c r="IL232" s="201"/>
      <c r="IM232" s="201"/>
      <c r="IN232" s="201"/>
      <c r="IO232" s="201"/>
      <c r="IP232" s="201"/>
      <c r="IQ232" s="201"/>
      <c r="IR232" s="201"/>
      <c r="IS232" s="201"/>
      <c r="IT232" s="201"/>
      <c r="IU232" s="201"/>
      <c r="IV232" s="201"/>
      <c r="IW232" s="201"/>
    </row>
    <row r="233" customFormat="false" ht="15" hidden="false" customHeight="true" outlineLevel="0" collapsed="false">
      <c r="A233" s="202" t="s">
        <v>120</v>
      </c>
      <c r="B233" s="203"/>
      <c r="C233" s="203"/>
      <c r="D233" s="203"/>
      <c r="E233" s="203"/>
      <c r="F233" s="203"/>
      <c r="G233" s="203"/>
      <c r="H233" s="73"/>
      <c r="I233" s="73"/>
      <c r="J233" s="73"/>
      <c r="K233" s="204"/>
      <c r="L233" s="205"/>
      <c r="M233" s="206"/>
      <c r="N233" s="206"/>
      <c r="O233" s="206"/>
      <c r="P233" s="206"/>
      <c r="Q233" s="207"/>
      <c r="R233" s="207"/>
      <c r="S233" s="207"/>
      <c r="T233" s="208"/>
      <c r="U233" s="209" t="s">
        <v>121</v>
      </c>
      <c r="V233" s="210" t="s">
        <v>122</v>
      </c>
      <c r="W233" s="211" t="n">
        <v>101</v>
      </c>
      <c r="X233" s="212"/>
      <c r="Y233" s="213" t="s">
        <v>123</v>
      </c>
      <c r="Z233" s="213" t="s">
        <v>124</v>
      </c>
      <c r="AA233" s="213" t="s">
        <v>123</v>
      </c>
      <c r="AB233" s="213" t="s">
        <v>125</v>
      </c>
      <c r="AC233" s="212"/>
      <c r="AD233" s="214" t="s">
        <v>13</v>
      </c>
      <c r="AE233" s="215" t="s">
        <v>113</v>
      </c>
      <c r="AF233" s="215" t="s">
        <v>82</v>
      </c>
      <c r="AG233" s="215"/>
      <c r="AH233" s="216" t="s">
        <v>113</v>
      </c>
      <c r="AI233" s="217" t="s">
        <v>126</v>
      </c>
      <c r="AJ233" s="215"/>
      <c r="AK233" s="216" t="s">
        <v>113</v>
      </c>
      <c r="AL233" s="215" t="s">
        <v>14</v>
      </c>
      <c r="AM233" s="215"/>
      <c r="AN233" s="215"/>
      <c r="AO233" s="215"/>
      <c r="AP233" s="215"/>
      <c r="AQ233" s="215"/>
      <c r="AR233" s="215"/>
      <c r="AS233" s="215"/>
      <c r="AT233" s="215"/>
      <c r="AU233" s="215"/>
      <c r="AV233" s="215"/>
      <c r="AW233" s="201"/>
      <c r="AX233" s="201"/>
      <c r="AY233" s="201"/>
      <c r="AZ233" s="201"/>
      <c r="BA233" s="201"/>
      <c r="BB233" s="201"/>
      <c r="BC233" s="201"/>
      <c r="BD233" s="201"/>
      <c r="BE233" s="201"/>
      <c r="BF233" s="201"/>
      <c r="BG233" s="201"/>
      <c r="BH233" s="201"/>
      <c r="BI233" s="201"/>
      <c r="BJ233" s="201"/>
      <c r="BK233" s="201"/>
      <c r="BL233" s="201"/>
      <c r="BM233" s="201"/>
      <c r="BN233" s="201"/>
      <c r="BO233" s="201"/>
      <c r="BP233" s="201"/>
      <c r="BQ233" s="201"/>
      <c r="BR233" s="201"/>
      <c r="BS233" s="201"/>
      <c r="BT233" s="201"/>
      <c r="BU233" s="201"/>
      <c r="BV233" s="201"/>
      <c r="BW233" s="201"/>
      <c r="BX233" s="201"/>
      <c r="BY233" s="201"/>
      <c r="BZ233" s="201"/>
      <c r="CA233" s="201"/>
      <c r="CB233" s="201"/>
      <c r="CC233" s="201"/>
      <c r="CD233" s="201"/>
      <c r="CE233" s="201"/>
      <c r="CF233" s="201"/>
      <c r="CG233" s="201"/>
      <c r="CH233" s="201"/>
      <c r="CI233" s="201"/>
      <c r="CJ233" s="201"/>
      <c r="CK233" s="201"/>
      <c r="CL233" s="201"/>
      <c r="CM233" s="201"/>
      <c r="CN233" s="201"/>
      <c r="CO233" s="201"/>
      <c r="CP233" s="201"/>
      <c r="CQ233" s="201"/>
      <c r="CR233" s="201"/>
      <c r="CS233" s="201"/>
      <c r="CT233" s="201"/>
      <c r="CU233" s="201"/>
      <c r="CV233" s="201"/>
      <c r="CW233" s="201"/>
      <c r="CX233" s="201"/>
      <c r="CY233" s="201"/>
      <c r="CZ233" s="201"/>
      <c r="DA233" s="201"/>
      <c r="DB233" s="201"/>
      <c r="DC233" s="201"/>
      <c r="DD233" s="201"/>
      <c r="DE233" s="201"/>
      <c r="DF233" s="201"/>
      <c r="DG233" s="201"/>
      <c r="DH233" s="201"/>
      <c r="DI233" s="201"/>
      <c r="DJ233" s="201"/>
      <c r="DK233" s="201"/>
      <c r="DL233" s="201"/>
      <c r="DM233" s="201"/>
      <c r="DN233" s="201"/>
      <c r="DO233" s="201"/>
      <c r="DP233" s="201"/>
      <c r="DQ233" s="201"/>
      <c r="DR233" s="201"/>
      <c r="DS233" s="201"/>
      <c r="DT233" s="201"/>
      <c r="DU233" s="201"/>
      <c r="DV233" s="201"/>
      <c r="DW233" s="201"/>
      <c r="DX233" s="201"/>
      <c r="DY233" s="201"/>
      <c r="DZ233" s="201"/>
      <c r="EA233" s="201"/>
      <c r="EB233" s="201"/>
      <c r="EC233" s="201"/>
      <c r="ED233" s="201"/>
      <c r="EE233" s="201"/>
      <c r="EF233" s="201"/>
      <c r="EG233" s="201"/>
      <c r="EH233" s="201"/>
      <c r="EI233" s="201"/>
      <c r="EJ233" s="201"/>
      <c r="EK233" s="201"/>
      <c r="EL233" s="201"/>
      <c r="EM233" s="201"/>
      <c r="EN233" s="201"/>
      <c r="EO233" s="201"/>
      <c r="EP233" s="201"/>
      <c r="EQ233" s="201"/>
      <c r="ER233" s="201"/>
      <c r="ES233" s="201"/>
      <c r="ET233" s="201"/>
      <c r="EU233" s="201"/>
      <c r="EV233" s="201"/>
      <c r="EW233" s="201"/>
      <c r="EX233" s="201"/>
      <c r="EY233" s="201"/>
      <c r="EZ233" s="201"/>
      <c r="FA233" s="201"/>
      <c r="FB233" s="201"/>
      <c r="FC233" s="201"/>
      <c r="FD233" s="201"/>
      <c r="FE233" s="201"/>
      <c r="FF233" s="201"/>
      <c r="FG233" s="201"/>
      <c r="FH233" s="201"/>
      <c r="FI233" s="201"/>
      <c r="FJ233" s="201"/>
      <c r="FK233" s="201"/>
      <c r="FL233" s="201"/>
      <c r="FM233" s="201"/>
      <c r="FN233" s="201"/>
      <c r="FO233" s="201"/>
      <c r="FP233" s="201"/>
      <c r="FQ233" s="201"/>
      <c r="FR233" s="201"/>
      <c r="FS233" s="201"/>
      <c r="FT233" s="201"/>
      <c r="FU233" s="201"/>
      <c r="FV233" s="201"/>
      <c r="FW233" s="201"/>
      <c r="FX233" s="201"/>
      <c r="FY233" s="201"/>
      <c r="FZ233" s="201"/>
      <c r="GA233" s="201"/>
      <c r="GB233" s="201"/>
      <c r="GC233" s="201"/>
      <c r="GD233" s="201"/>
      <c r="GE233" s="201"/>
      <c r="GF233" s="201"/>
      <c r="GG233" s="201"/>
      <c r="GH233" s="201"/>
      <c r="GI233" s="201"/>
      <c r="GJ233" s="201"/>
      <c r="GK233" s="201"/>
      <c r="GL233" s="201"/>
      <c r="GM233" s="201"/>
      <c r="GN233" s="201"/>
      <c r="GO233" s="201"/>
      <c r="GP233" s="201"/>
      <c r="GQ233" s="201"/>
      <c r="GR233" s="201"/>
      <c r="GS233" s="201"/>
      <c r="GT233" s="201"/>
      <c r="GU233" s="201"/>
      <c r="GV233" s="201"/>
      <c r="GW233" s="201"/>
      <c r="GX233" s="201"/>
      <c r="GY233" s="201"/>
      <c r="GZ233" s="201"/>
      <c r="HA233" s="201"/>
      <c r="HB233" s="201"/>
      <c r="HC233" s="201"/>
      <c r="HD233" s="201"/>
      <c r="HE233" s="201"/>
      <c r="HF233" s="201"/>
      <c r="HG233" s="201"/>
      <c r="HH233" s="201"/>
      <c r="HI233" s="201"/>
      <c r="HJ233" s="201"/>
      <c r="HK233" s="201"/>
      <c r="HL233" s="201"/>
      <c r="HM233" s="201"/>
      <c r="HN233" s="201"/>
      <c r="HO233" s="201"/>
      <c r="HP233" s="201"/>
      <c r="HQ233" s="201"/>
      <c r="HR233" s="201"/>
      <c r="HS233" s="201"/>
      <c r="HT233" s="201"/>
      <c r="HU233" s="201"/>
      <c r="HV233" s="201"/>
      <c r="HW233" s="201"/>
      <c r="HX233" s="201"/>
      <c r="HY233" s="201"/>
      <c r="HZ233" s="201"/>
      <c r="IA233" s="201"/>
      <c r="IB233" s="201"/>
      <c r="IC233" s="201"/>
      <c r="ID233" s="201"/>
      <c r="IE233" s="201"/>
      <c r="IF233" s="201"/>
      <c r="IG233" s="201"/>
      <c r="IH233" s="201"/>
      <c r="II233" s="201"/>
      <c r="IJ233" s="201"/>
      <c r="IK233" s="201"/>
      <c r="IL233" s="201"/>
      <c r="IM233" s="201"/>
      <c r="IN233" s="201"/>
      <c r="IO233" s="201"/>
      <c r="IP233" s="201"/>
      <c r="IQ233" s="201"/>
      <c r="IR233" s="201"/>
      <c r="IS233" s="201"/>
      <c r="IT233" s="201"/>
      <c r="IU233" s="201"/>
      <c r="IV233" s="201"/>
      <c r="IW233" s="201"/>
    </row>
    <row r="234" customFormat="false" ht="15" hidden="false" customHeight="true" outlineLevel="0" collapsed="false">
      <c r="A234" s="93"/>
      <c r="B234" s="93"/>
      <c r="C234" s="93"/>
      <c r="D234" s="93"/>
      <c r="E234" s="93"/>
      <c r="F234" s="93"/>
      <c r="G234" s="93"/>
      <c r="K234" s="218"/>
      <c r="L234" s="219"/>
      <c r="M234" s="220"/>
      <c r="N234" s="220"/>
      <c r="O234" s="220"/>
      <c r="P234" s="220"/>
      <c r="Q234" s="221"/>
      <c r="R234" s="221"/>
      <c r="S234" s="221"/>
      <c r="T234" s="220"/>
      <c r="U234" s="222" t="s">
        <v>121</v>
      </c>
      <c r="V234" s="223" t="s">
        <v>127</v>
      </c>
      <c r="W234" s="224" t="n">
        <v>103</v>
      </c>
      <c r="X234" s="212"/>
      <c r="Y234" s="225"/>
      <c r="Z234" s="225"/>
      <c r="AA234" s="226" t="n">
        <v>102</v>
      </c>
      <c r="AB234" s="227" t="s">
        <v>128</v>
      </c>
      <c r="AC234" s="212"/>
      <c r="AD234" s="228" t="s">
        <v>129</v>
      </c>
      <c r="AG234" s="229"/>
      <c r="AH234" s="230" t="n">
        <v>1</v>
      </c>
      <c r="AI234" s="231" t="s">
        <v>130</v>
      </c>
      <c r="AJ234" s="229"/>
      <c r="AK234" s="230" t="n">
        <v>2</v>
      </c>
      <c r="AL234" s="232" t="s">
        <v>131</v>
      </c>
      <c r="AM234" s="229"/>
      <c r="AN234" s="229"/>
      <c r="AO234" s="229"/>
      <c r="AP234" s="229"/>
      <c r="AQ234" s="229"/>
      <c r="AR234" s="229"/>
      <c r="AS234" s="229"/>
      <c r="AT234" s="229"/>
      <c r="AU234" s="229"/>
      <c r="AV234" s="229"/>
      <c r="AW234" s="5"/>
      <c r="AX234" s="5"/>
      <c r="AY234" s="5"/>
      <c r="AZ234" s="5"/>
      <c r="BA234" s="5"/>
      <c r="BB234" s="5"/>
      <c r="BC234" s="5"/>
      <c r="BD234" s="5"/>
      <c r="BE234" s="5"/>
      <c r="BF234" s="5"/>
      <c r="BG234" s="5"/>
    </row>
    <row r="235" customFormat="false" ht="15" hidden="false" customHeight="true" outlineLevel="0" collapsed="false">
      <c r="A235" s="233" t="s">
        <v>132</v>
      </c>
      <c r="B235" s="0"/>
      <c r="C235" s="0"/>
      <c r="D235" s="0"/>
      <c r="E235" s="0"/>
      <c r="F235" s="0"/>
      <c r="G235" s="0"/>
      <c r="H235" s="0"/>
      <c r="I235" s="0"/>
      <c r="J235" s="0"/>
      <c r="K235" s="0"/>
      <c r="L235" s="219"/>
      <c r="M235" s="220"/>
      <c r="N235" s="220"/>
      <c r="O235" s="220"/>
      <c r="P235" s="220"/>
      <c r="Q235" s="221"/>
      <c r="R235" s="221"/>
      <c r="S235" s="221"/>
      <c r="T235" s="220"/>
      <c r="U235" s="222" t="s">
        <v>121</v>
      </c>
      <c r="V235" s="223" t="s">
        <v>133</v>
      </c>
      <c r="W235" s="224" t="n">
        <v>104</v>
      </c>
      <c r="X235" s="212"/>
      <c r="Y235" s="225"/>
      <c r="Z235" s="225"/>
      <c r="AA235" s="226" t="n">
        <v>103</v>
      </c>
      <c r="AB235" s="227" t="s">
        <v>134</v>
      </c>
      <c r="AC235" s="212"/>
      <c r="AD235" s="228" t="s">
        <v>135</v>
      </c>
      <c r="AE235" s="229" t="n">
        <v>1</v>
      </c>
      <c r="AF235" s="229" t="s">
        <v>136</v>
      </c>
      <c r="AG235" s="229"/>
      <c r="AH235" s="230" t="n">
        <v>2</v>
      </c>
      <c r="AI235" s="231" t="s">
        <v>118</v>
      </c>
      <c r="AJ235" s="229"/>
      <c r="AK235" s="230" t="n">
        <v>3</v>
      </c>
      <c r="AL235" s="232" t="s">
        <v>137</v>
      </c>
      <c r="AM235" s="229"/>
      <c r="AN235" s="229"/>
      <c r="AO235" s="229"/>
      <c r="AP235" s="229"/>
      <c r="AQ235" s="229"/>
      <c r="AR235" s="229"/>
      <c r="AS235" s="229"/>
      <c r="AT235" s="229"/>
      <c r="AU235" s="229"/>
      <c r="AV235" s="229"/>
      <c r="AW235" s="5"/>
      <c r="AX235" s="5"/>
      <c r="AY235" s="5"/>
      <c r="AZ235" s="5"/>
      <c r="BA235" s="5"/>
      <c r="BB235" s="5"/>
      <c r="BC235" s="5"/>
      <c r="BD235" s="5"/>
      <c r="BE235" s="5"/>
      <c r="BF235" s="5"/>
      <c r="BG235" s="5"/>
    </row>
    <row r="236" customFormat="false" ht="15" hidden="false" customHeight="true" outlineLevel="0" collapsed="false">
      <c r="A236" s="88" t="s">
        <v>3</v>
      </c>
      <c r="B236" s="89" t="s">
        <v>5</v>
      </c>
      <c r="C236" s="89"/>
      <c r="D236" s="89" t="s">
        <v>6</v>
      </c>
      <c r="E236" s="88" t="s">
        <v>82</v>
      </c>
      <c r="F236" s="88" t="s">
        <v>108</v>
      </c>
      <c r="G236" s="88" t="s">
        <v>10</v>
      </c>
      <c r="H236" s="89" t="s">
        <v>138</v>
      </c>
      <c r="I236" s="88" t="s">
        <v>112</v>
      </c>
      <c r="J236" s="88"/>
      <c r="K236" s="88"/>
      <c r="L236" s="219"/>
      <c r="M236" s="220"/>
      <c r="N236" s="220"/>
      <c r="O236" s="220"/>
      <c r="P236" s="220"/>
      <c r="Q236" s="221"/>
      <c r="R236" s="221"/>
      <c r="S236" s="221"/>
      <c r="T236" s="220"/>
      <c r="U236" s="222" t="s">
        <v>121</v>
      </c>
      <c r="V236" s="223" t="s">
        <v>139</v>
      </c>
      <c r="W236" s="224" t="n">
        <v>105</v>
      </c>
      <c r="X236" s="212"/>
      <c r="Y236" s="225"/>
      <c r="Z236" s="225"/>
      <c r="AA236" s="226" t="n">
        <v>104</v>
      </c>
      <c r="AB236" s="227" t="s">
        <v>140</v>
      </c>
      <c r="AC236" s="212"/>
      <c r="AD236" s="228" t="s">
        <v>141</v>
      </c>
      <c r="AE236" s="234" t="n">
        <v>2</v>
      </c>
      <c r="AF236" s="232" t="s">
        <v>142</v>
      </c>
      <c r="AG236" s="229"/>
      <c r="AH236" s="230" t="n">
        <v>3</v>
      </c>
      <c r="AI236" s="231" t="s">
        <v>143</v>
      </c>
      <c r="AJ236" s="229"/>
      <c r="AK236" s="230" t="n">
        <v>4</v>
      </c>
      <c r="AL236" s="232" t="s">
        <v>144</v>
      </c>
      <c r="AM236" s="229"/>
      <c r="AN236" s="229"/>
      <c r="AO236" s="229"/>
      <c r="AP236" s="229"/>
      <c r="AQ236" s="229"/>
      <c r="AR236" s="229"/>
      <c r="AS236" s="229"/>
      <c r="AT236" s="229"/>
      <c r="AU236" s="229"/>
      <c r="AV236" s="229"/>
      <c r="AW236" s="5"/>
      <c r="AX236" s="5"/>
      <c r="AY236" s="5"/>
      <c r="AZ236" s="5"/>
      <c r="BA236" s="5"/>
      <c r="BB236" s="5"/>
      <c r="BC236" s="5"/>
      <c r="BD236" s="5"/>
      <c r="BE236" s="5"/>
      <c r="BF236" s="5"/>
      <c r="BG236" s="5"/>
    </row>
    <row r="237" customFormat="false" ht="15" hidden="false" customHeight="true" outlineLevel="0" collapsed="false">
      <c r="A237" s="88"/>
      <c r="B237" s="235" t="s">
        <v>13</v>
      </c>
      <c r="C237" s="89" t="s">
        <v>14</v>
      </c>
      <c r="D237" s="89"/>
      <c r="E237" s="88"/>
      <c r="F237" s="88"/>
      <c r="G237" s="88"/>
      <c r="H237" s="89"/>
      <c r="I237" s="92" t="s">
        <v>15</v>
      </c>
      <c r="J237" s="90" t="s">
        <v>16</v>
      </c>
      <c r="K237" s="236" t="s">
        <v>17</v>
      </c>
      <c r="L237" s="219"/>
      <c r="M237" s="220"/>
      <c r="N237" s="220"/>
      <c r="O237" s="220"/>
      <c r="P237" s="220"/>
      <c r="Q237" s="221"/>
      <c r="R237" s="221"/>
      <c r="S237" s="221"/>
      <c r="T237" s="220"/>
      <c r="U237" s="222" t="s">
        <v>121</v>
      </c>
      <c r="V237" s="223" t="s">
        <v>145</v>
      </c>
      <c r="W237" s="224" t="n">
        <v>106</v>
      </c>
      <c r="X237" s="212"/>
      <c r="Y237" s="225"/>
      <c r="Z237" s="225"/>
      <c r="AA237" s="226" t="n">
        <v>105</v>
      </c>
      <c r="AB237" s="227" t="s">
        <v>146</v>
      </c>
      <c r="AC237" s="212"/>
      <c r="AD237" s="228" t="s">
        <v>147</v>
      </c>
      <c r="AE237" s="234" t="n">
        <v>3</v>
      </c>
      <c r="AF237" s="232" t="s">
        <v>148</v>
      </c>
      <c r="AG237" s="229"/>
      <c r="AH237" s="230"/>
      <c r="AI237" s="231"/>
      <c r="AJ237" s="229"/>
      <c r="AK237" s="230" t="n">
        <v>5</v>
      </c>
      <c r="AL237" s="232" t="s">
        <v>149</v>
      </c>
      <c r="AM237" s="229"/>
      <c r="AN237" s="229"/>
      <c r="AO237" s="229"/>
      <c r="AP237" s="229"/>
      <c r="AQ237" s="229"/>
      <c r="AR237" s="229"/>
      <c r="AS237" s="229"/>
      <c r="AT237" s="229"/>
      <c r="AU237" s="229"/>
      <c r="AV237" s="229"/>
      <c r="AW237" s="5"/>
      <c r="AX237" s="5"/>
      <c r="AY237" s="5"/>
      <c r="AZ237" s="5"/>
      <c r="BA237" s="5"/>
      <c r="BB237" s="5"/>
      <c r="BC237" s="5"/>
      <c r="BD237" s="5"/>
      <c r="BE237" s="5"/>
      <c r="BF237" s="5"/>
      <c r="BG237" s="5"/>
    </row>
    <row r="238" customFormat="false" ht="15" hidden="false" customHeight="true" outlineLevel="0" collapsed="false">
      <c r="A238" s="22" t="s">
        <v>19</v>
      </c>
      <c r="B238" s="24"/>
      <c r="C238" s="25"/>
      <c r="D238" s="97"/>
      <c r="E238" s="96"/>
      <c r="F238" s="27"/>
      <c r="G238" s="29"/>
      <c r="H238" s="237"/>
      <c r="I238" s="176"/>
      <c r="J238" s="174"/>
      <c r="K238" s="175" t="n">
        <f aca="false">$I$238+$J$238</f>
        <v>0</v>
      </c>
      <c r="L238" s="219"/>
      <c r="M238" s="220"/>
      <c r="N238" s="220"/>
      <c r="O238" s="220"/>
      <c r="P238" s="220"/>
      <c r="Q238" s="221"/>
      <c r="R238" s="221"/>
      <c r="S238" s="221"/>
      <c r="T238" s="220"/>
      <c r="U238" s="222" t="s">
        <v>121</v>
      </c>
      <c r="V238" s="223" t="s">
        <v>150</v>
      </c>
      <c r="W238" s="224" t="n">
        <v>107</v>
      </c>
      <c r="X238" s="212"/>
      <c r="Y238" s="225"/>
      <c r="Z238" s="225"/>
      <c r="AA238" s="226" t="n">
        <v>106</v>
      </c>
      <c r="AB238" s="227" t="s">
        <v>151</v>
      </c>
      <c r="AC238" s="212"/>
      <c r="AD238" s="228" t="s">
        <v>152</v>
      </c>
      <c r="AE238" s="234" t="n">
        <v>4</v>
      </c>
      <c r="AF238" s="232" t="s">
        <v>153</v>
      </c>
      <c r="AG238" s="229"/>
      <c r="AH238" s="238"/>
      <c r="AJ238" s="229"/>
      <c r="AK238" s="230" t="n">
        <v>6</v>
      </c>
      <c r="AL238" s="232" t="s">
        <v>154</v>
      </c>
      <c r="AM238" s="229"/>
      <c r="AN238" s="229"/>
      <c r="AO238" s="229"/>
      <c r="AP238" s="229"/>
      <c r="AQ238" s="229"/>
      <c r="AR238" s="229"/>
      <c r="AS238" s="229"/>
      <c r="AT238" s="229"/>
      <c r="AU238" s="229"/>
      <c r="AV238" s="229"/>
      <c r="AW238" s="5"/>
      <c r="AX238" s="5"/>
      <c r="AY238" s="5"/>
      <c r="AZ238" s="5"/>
      <c r="BA238" s="5"/>
      <c r="BB238" s="5"/>
      <c r="BC238" s="5"/>
      <c r="BD238" s="5"/>
      <c r="BE238" s="5"/>
      <c r="BF238" s="5"/>
      <c r="BG238" s="5"/>
    </row>
    <row r="239" customFormat="false" ht="15" hidden="false" customHeight="true" outlineLevel="0" collapsed="false">
      <c r="A239" s="35" t="s">
        <v>20</v>
      </c>
      <c r="B239" s="37"/>
      <c r="C239" s="38"/>
      <c r="D239" s="102"/>
      <c r="E239" s="101"/>
      <c r="F239" s="40"/>
      <c r="G239" s="42"/>
      <c r="H239" s="239"/>
      <c r="I239" s="180"/>
      <c r="J239" s="178"/>
      <c r="K239" s="179" t="n">
        <f aca="false">$I$239+$J$239</f>
        <v>0</v>
      </c>
      <c r="L239" s="219"/>
      <c r="M239" s="220"/>
      <c r="N239" s="220"/>
      <c r="O239" s="220"/>
      <c r="P239" s="220"/>
      <c r="Q239" s="221"/>
      <c r="R239" s="221"/>
      <c r="S239" s="221"/>
      <c r="T239" s="220"/>
      <c r="U239" s="222" t="s">
        <v>155</v>
      </c>
      <c r="V239" s="223" t="s">
        <v>156</v>
      </c>
      <c r="W239" s="224" t="n">
        <v>201</v>
      </c>
      <c r="X239" s="212"/>
      <c r="Y239" s="225"/>
      <c r="Z239" s="225"/>
      <c r="AA239" s="226" t="n">
        <v>107</v>
      </c>
      <c r="AB239" s="227" t="s">
        <v>157</v>
      </c>
      <c r="AC239" s="212"/>
      <c r="AD239" s="228" t="s">
        <v>158</v>
      </c>
      <c r="AE239" s="234" t="n">
        <v>5</v>
      </c>
      <c r="AF239" s="232" t="s">
        <v>159</v>
      </c>
      <c r="AG239" s="229"/>
      <c r="AH239" s="238"/>
      <c r="AI239" s="240"/>
      <c r="AJ239" s="229"/>
      <c r="AK239" s="230" t="n">
        <v>7</v>
      </c>
      <c r="AL239" s="232" t="s">
        <v>160</v>
      </c>
      <c r="AM239" s="229"/>
      <c r="AN239" s="229"/>
      <c r="AO239" s="229"/>
      <c r="AP239" s="229"/>
      <c r="AQ239" s="229"/>
      <c r="AR239" s="229"/>
      <c r="AS239" s="229"/>
      <c r="AT239" s="229"/>
      <c r="AU239" s="229"/>
      <c r="AV239" s="229"/>
      <c r="AW239" s="5"/>
      <c r="AX239" s="5"/>
      <c r="AY239" s="5"/>
      <c r="AZ239" s="5"/>
      <c r="BA239" s="5"/>
      <c r="BB239" s="5"/>
      <c r="BC239" s="5"/>
      <c r="BD239" s="5"/>
      <c r="BE239" s="5"/>
      <c r="BF239" s="5"/>
      <c r="BG239" s="5"/>
    </row>
    <row r="240" customFormat="false" ht="15" hidden="false" customHeight="true" outlineLevel="0" collapsed="false">
      <c r="A240" s="35" t="s">
        <v>21</v>
      </c>
      <c r="B240" s="37"/>
      <c r="C240" s="38"/>
      <c r="D240" s="102"/>
      <c r="E240" s="101"/>
      <c r="F240" s="40"/>
      <c r="G240" s="42"/>
      <c r="H240" s="239"/>
      <c r="I240" s="180"/>
      <c r="J240" s="178"/>
      <c r="K240" s="179" t="n">
        <f aca="false">$I$240+$J$240</f>
        <v>0</v>
      </c>
      <c r="L240" s="219"/>
      <c r="M240" s="220"/>
      <c r="N240" s="220"/>
      <c r="O240" s="220"/>
      <c r="P240" s="220"/>
      <c r="Q240" s="221"/>
      <c r="R240" s="221"/>
      <c r="S240" s="221"/>
      <c r="T240" s="220"/>
      <c r="U240" s="222" t="s">
        <v>155</v>
      </c>
      <c r="V240" s="223" t="s">
        <v>161</v>
      </c>
      <c r="W240" s="224" t="n">
        <v>202</v>
      </c>
      <c r="X240" s="212"/>
      <c r="Y240" s="225"/>
      <c r="Z240" s="225"/>
      <c r="AA240" s="226" t="n">
        <v>108</v>
      </c>
      <c r="AB240" s="227" t="s">
        <v>162</v>
      </c>
      <c r="AC240" s="212"/>
      <c r="AD240" s="228" t="s">
        <v>163</v>
      </c>
      <c r="AE240" s="234" t="n">
        <v>6</v>
      </c>
      <c r="AF240" s="232" t="s">
        <v>164</v>
      </c>
      <c r="AG240" s="229"/>
      <c r="AH240" s="238" t="s">
        <v>113</v>
      </c>
      <c r="AI240" s="240" t="s">
        <v>165</v>
      </c>
      <c r="AJ240" s="229"/>
      <c r="AK240" s="230" t="n">
        <v>8</v>
      </c>
      <c r="AL240" s="232" t="s">
        <v>166</v>
      </c>
      <c r="AM240" s="229"/>
      <c r="AN240" s="229"/>
      <c r="AO240" s="229"/>
      <c r="AP240" s="229"/>
      <c r="AQ240" s="229"/>
      <c r="AR240" s="229"/>
      <c r="AS240" s="229"/>
      <c r="AT240" s="229"/>
      <c r="AU240" s="229"/>
      <c r="AV240" s="229"/>
      <c r="AW240" s="5"/>
      <c r="AX240" s="5"/>
      <c r="AY240" s="5"/>
      <c r="AZ240" s="5"/>
      <c r="BA240" s="5"/>
      <c r="BB240" s="5"/>
      <c r="BC240" s="5"/>
      <c r="BD240" s="5"/>
      <c r="BE240" s="5"/>
      <c r="BF240" s="5"/>
      <c r="BG240" s="5"/>
    </row>
    <row r="241" customFormat="false" ht="15" hidden="false" customHeight="true" outlineLevel="0" collapsed="false">
      <c r="A241" s="35" t="s">
        <v>22</v>
      </c>
      <c r="B241" s="37"/>
      <c r="C241" s="38"/>
      <c r="D241" s="102"/>
      <c r="E241" s="101"/>
      <c r="F241" s="40"/>
      <c r="G241" s="42"/>
      <c r="H241" s="239"/>
      <c r="I241" s="180"/>
      <c r="J241" s="178"/>
      <c r="K241" s="179" t="n">
        <f aca="false">$I$241+$J$241</f>
        <v>0</v>
      </c>
      <c r="L241" s="219"/>
      <c r="M241" s="220"/>
      <c r="N241" s="220"/>
      <c r="O241" s="220"/>
      <c r="P241" s="220"/>
      <c r="Q241" s="221"/>
      <c r="R241" s="221"/>
      <c r="S241" s="221"/>
      <c r="T241" s="220"/>
      <c r="U241" s="222" t="s">
        <v>155</v>
      </c>
      <c r="V241" s="223" t="s">
        <v>167</v>
      </c>
      <c r="W241" s="224" t="n">
        <v>203</v>
      </c>
      <c r="X241" s="212"/>
      <c r="Y241" s="225"/>
      <c r="Z241" s="225"/>
      <c r="AA241" s="226" t="n">
        <v>109</v>
      </c>
      <c r="AB241" s="227" t="s">
        <v>168</v>
      </c>
      <c r="AC241" s="212"/>
      <c r="AD241" s="228" t="s">
        <v>169</v>
      </c>
      <c r="AE241" s="234" t="n">
        <v>7</v>
      </c>
      <c r="AF241" s="232" t="s">
        <v>170</v>
      </c>
      <c r="AG241" s="229"/>
      <c r="AH241" s="238" t="n">
        <v>1</v>
      </c>
      <c r="AI241" s="240" t="n">
        <v>1</v>
      </c>
      <c r="AJ241" s="229"/>
      <c r="AK241" s="230" t="n">
        <v>9</v>
      </c>
      <c r="AL241" s="232" t="s">
        <v>171</v>
      </c>
      <c r="AM241" s="229"/>
      <c r="AN241" s="229"/>
      <c r="AO241" s="229"/>
      <c r="AP241" s="229"/>
      <c r="AQ241" s="229"/>
      <c r="AR241" s="229"/>
      <c r="AS241" s="229"/>
      <c r="AT241" s="229"/>
      <c r="AU241" s="229"/>
      <c r="AV241" s="229"/>
      <c r="AW241" s="5"/>
      <c r="AX241" s="5"/>
      <c r="AY241" s="5"/>
      <c r="AZ241" s="5"/>
      <c r="BA241" s="5"/>
      <c r="BB241" s="5"/>
      <c r="BC241" s="5"/>
      <c r="BD241" s="5"/>
      <c r="BE241" s="5"/>
      <c r="BF241" s="5"/>
      <c r="BG241" s="5"/>
    </row>
    <row r="242" customFormat="false" ht="15" hidden="false" customHeight="true" outlineLevel="0" collapsed="false">
      <c r="A242" s="35" t="s">
        <v>23</v>
      </c>
      <c r="B242" s="37"/>
      <c r="C242" s="38"/>
      <c r="D242" s="102"/>
      <c r="E242" s="101"/>
      <c r="F242" s="40"/>
      <c r="G242" s="42"/>
      <c r="H242" s="239"/>
      <c r="I242" s="180"/>
      <c r="J242" s="178"/>
      <c r="K242" s="179" t="n">
        <f aca="false">$I$242+$J$242</f>
        <v>0</v>
      </c>
      <c r="L242" s="219"/>
      <c r="M242" s="220"/>
      <c r="N242" s="220"/>
      <c r="O242" s="220"/>
      <c r="P242" s="220"/>
      <c r="Q242" s="221"/>
      <c r="R242" s="221"/>
      <c r="S242" s="221"/>
      <c r="T242" s="220"/>
      <c r="U242" s="222" t="s">
        <v>155</v>
      </c>
      <c r="V242" s="223" t="s">
        <v>172</v>
      </c>
      <c r="W242" s="224" t="n">
        <v>204</v>
      </c>
      <c r="X242" s="212"/>
      <c r="Y242" s="225"/>
      <c r="Z242" s="225"/>
      <c r="AA242" s="226" t="n">
        <v>110</v>
      </c>
      <c r="AB242" s="227" t="s">
        <v>173</v>
      </c>
      <c r="AC242" s="212"/>
      <c r="AD242" s="228" t="s">
        <v>174</v>
      </c>
      <c r="AE242" s="234" t="n">
        <v>8</v>
      </c>
      <c r="AF242" s="232" t="s">
        <v>175</v>
      </c>
      <c r="AG242" s="229"/>
      <c r="AH242" s="238" t="n">
        <v>2</v>
      </c>
      <c r="AI242" s="240" t="n">
        <v>2</v>
      </c>
      <c r="AJ242" s="229"/>
      <c r="AK242" s="230" t="n">
        <v>10</v>
      </c>
      <c r="AL242" s="232" t="s">
        <v>176</v>
      </c>
      <c r="AM242" s="229"/>
      <c r="AN242" s="229"/>
      <c r="AO242" s="229"/>
      <c r="AP242" s="229"/>
      <c r="AQ242" s="229"/>
      <c r="AR242" s="229"/>
      <c r="AS242" s="229"/>
      <c r="AT242" s="229"/>
      <c r="AU242" s="229"/>
      <c r="AV242" s="229"/>
      <c r="AW242" s="5"/>
      <c r="AX242" s="5"/>
      <c r="AY242" s="5"/>
      <c r="AZ242" s="5"/>
      <c r="BA242" s="5"/>
      <c r="BB242" s="5"/>
      <c r="BC242" s="5"/>
      <c r="BD242" s="5"/>
      <c r="BE242" s="5"/>
      <c r="BF242" s="5"/>
      <c r="BG242" s="5"/>
    </row>
    <row r="243" customFormat="false" ht="15" hidden="false" customHeight="true" outlineLevel="0" collapsed="false">
      <c r="A243" s="35" t="s">
        <v>24</v>
      </c>
      <c r="B243" s="37"/>
      <c r="C243" s="38"/>
      <c r="D243" s="102"/>
      <c r="E243" s="101"/>
      <c r="F243" s="40"/>
      <c r="G243" s="42"/>
      <c r="H243" s="239"/>
      <c r="I243" s="180"/>
      <c r="J243" s="178"/>
      <c r="K243" s="179" t="n">
        <f aca="false">$I$243+$J$243</f>
        <v>0</v>
      </c>
      <c r="L243" s="219"/>
      <c r="M243" s="220"/>
      <c r="N243" s="220"/>
      <c r="O243" s="220"/>
      <c r="P243" s="220"/>
      <c r="Q243" s="221"/>
      <c r="R243" s="221"/>
      <c r="S243" s="221"/>
      <c r="T243" s="220"/>
      <c r="U243" s="222" t="s">
        <v>155</v>
      </c>
      <c r="V243" s="223" t="s">
        <v>177</v>
      </c>
      <c r="W243" s="224" t="n">
        <v>205</v>
      </c>
      <c r="X243" s="212"/>
      <c r="Y243" s="225"/>
      <c r="Z243" s="225"/>
      <c r="AA243" s="226" t="n">
        <v>111</v>
      </c>
      <c r="AB243" s="227" t="s">
        <v>178</v>
      </c>
      <c r="AC243" s="212"/>
      <c r="AD243" s="212"/>
      <c r="AE243" s="234" t="n">
        <v>9</v>
      </c>
      <c r="AF243" s="232" t="s">
        <v>179</v>
      </c>
      <c r="AG243" s="229"/>
      <c r="AH243" s="238" t="n">
        <v>3</v>
      </c>
      <c r="AI243" s="240" t="n">
        <v>3</v>
      </c>
      <c r="AJ243" s="229"/>
      <c r="AK243" s="230" t="n">
        <v>11</v>
      </c>
      <c r="AL243" s="232" t="s">
        <v>180</v>
      </c>
      <c r="AM243" s="229"/>
      <c r="AN243" s="229"/>
      <c r="AO243" s="229"/>
      <c r="AP243" s="229"/>
      <c r="AQ243" s="229"/>
      <c r="AR243" s="229"/>
      <c r="AS243" s="229"/>
      <c r="AT243" s="229"/>
      <c r="AU243" s="229"/>
      <c r="AV243" s="229"/>
      <c r="AW243" s="5"/>
      <c r="AX243" s="5"/>
      <c r="AY243" s="5"/>
      <c r="AZ243" s="5"/>
      <c r="BA243" s="5"/>
      <c r="BB243" s="5"/>
      <c r="BC243" s="5"/>
      <c r="BD243" s="5"/>
      <c r="BE243" s="5"/>
      <c r="BF243" s="5"/>
      <c r="BG243" s="5"/>
    </row>
    <row r="244" customFormat="false" ht="15" hidden="false" customHeight="true" outlineLevel="0" collapsed="false">
      <c r="A244" s="35" t="s">
        <v>25</v>
      </c>
      <c r="B244" s="37"/>
      <c r="C244" s="38"/>
      <c r="D244" s="102"/>
      <c r="E244" s="101"/>
      <c r="F244" s="40"/>
      <c r="G244" s="42"/>
      <c r="H244" s="239"/>
      <c r="I244" s="180"/>
      <c r="J244" s="178"/>
      <c r="K244" s="179" t="n">
        <f aca="false">$I$244+$J$244</f>
        <v>0</v>
      </c>
      <c r="L244" s="219"/>
      <c r="M244" s="220"/>
      <c r="N244" s="220"/>
      <c r="O244" s="220"/>
      <c r="P244" s="220"/>
      <c r="Q244" s="221"/>
      <c r="R244" s="221"/>
      <c r="S244" s="221"/>
      <c r="T244" s="220"/>
      <c r="U244" s="222" t="s">
        <v>155</v>
      </c>
      <c r="V244" s="223" t="s">
        <v>181</v>
      </c>
      <c r="W244" s="224" t="n">
        <v>206</v>
      </c>
      <c r="X244" s="212"/>
      <c r="Y244" s="225"/>
      <c r="Z244" s="225"/>
      <c r="AA244" s="226" t="n">
        <v>112</v>
      </c>
      <c r="AB244" s="227" t="s">
        <v>182</v>
      </c>
      <c r="AC244" s="241" t="s">
        <v>113</v>
      </c>
      <c r="AD244" s="242" t="s">
        <v>183</v>
      </c>
      <c r="AE244" s="234" t="n">
        <v>10</v>
      </c>
      <c r="AF244" s="232" t="s">
        <v>184</v>
      </c>
      <c r="AG244" s="229"/>
      <c r="AH244" s="238" t="n">
        <v>4</v>
      </c>
      <c r="AI244" s="240" t="n">
        <v>4</v>
      </c>
      <c r="AJ244" s="229"/>
      <c r="AK244" s="230" t="n">
        <v>12</v>
      </c>
      <c r="AL244" s="232" t="s">
        <v>185</v>
      </c>
      <c r="AM244" s="229"/>
      <c r="AN244" s="229"/>
      <c r="AO244" s="229"/>
      <c r="AP244" s="229"/>
      <c r="AQ244" s="229"/>
      <c r="AR244" s="229"/>
      <c r="AS244" s="229"/>
      <c r="AT244" s="229"/>
      <c r="AU244" s="229"/>
      <c r="AV244" s="229"/>
      <c r="AW244" s="5"/>
      <c r="AX244" s="5"/>
      <c r="AY244" s="5"/>
      <c r="AZ244" s="5"/>
      <c r="BA244" s="5"/>
      <c r="BB244" s="5"/>
      <c r="BC244" s="5"/>
      <c r="BD244" s="5"/>
      <c r="BE244" s="5"/>
      <c r="BF244" s="5"/>
      <c r="BG244" s="5"/>
    </row>
    <row r="245" customFormat="false" ht="15" hidden="false" customHeight="true" outlineLevel="0" collapsed="false">
      <c r="A245" s="35" t="s">
        <v>26</v>
      </c>
      <c r="B245" s="37"/>
      <c r="C245" s="38"/>
      <c r="D245" s="102"/>
      <c r="E245" s="101"/>
      <c r="F245" s="40"/>
      <c r="G245" s="42"/>
      <c r="H245" s="239"/>
      <c r="I245" s="180"/>
      <c r="J245" s="178"/>
      <c r="K245" s="179" t="n">
        <f aca="false">$I$245+$J$245</f>
        <v>0</v>
      </c>
      <c r="L245" s="219"/>
      <c r="M245" s="220"/>
      <c r="N245" s="220"/>
      <c r="O245" s="220"/>
      <c r="P245" s="220"/>
      <c r="Q245" s="221"/>
      <c r="R245" s="221"/>
      <c r="S245" s="221"/>
      <c r="T245" s="220"/>
      <c r="U245" s="222" t="s">
        <v>155</v>
      </c>
      <c r="V245" s="223" t="s">
        <v>186</v>
      </c>
      <c r="W245" s="224" t="n">
        <v>207</v>
      </c>
      <c r="X245" s="212"/>
      <c r="Y245" s="225"/>
      <c r="Z245" s="225"/>
      <c r="AA245" s="226" t="n">
        <v>113</v>
      </c>
      <c r="AB245" s="227" t="s">
        <v>187</v>
      </c>
      <c r="AC245" s="241" t="n">
        <v>1</v>
      </c>
      <c r="AD245" s="243" t="s">
        <v>188</v>
      </c>
      <c r="AE245" s="234" t="n">
        <v>11</v>
      </c>
      <c r="AF245" s="232" t="s">
        <v>189</v>
      </c>
      <c r="AG245" s="229"/>
      <c r="AH245" s="238" t="n">
        <v>5</v>
      </c>
      <c r="AI245" s="240" t="n">
        <v>5</v>
      </c>
      <c r="AJ245" s="229"/>
      <c r="AK245" s="230" t="n">
        <v>13</v>
      </c>
      <c r="AL245" s="232" t="s">
        <v>152</v>
      </c>
      <c r="AM245" s="229"/>
      <c r="AN245" s="229"/>
      <c r="AO245" s="229"/>
      <c r="AP245" s="229"/>
      <c r="AQ245" s="229"/>
      <c r="AR245" s="229"/>
      <c r="AS245" s="229"/>
      <c r="AT245" s="229"/>
      <c r="AU245" s="229"/>
      <c r="AV245" s="229"/>
      <c r="AW245" s="5"/>
      <c r="AX245" s="5"/>
      <c r="AY245" s="5"/>
      <c r="AZ245" s="5"/>
      <c r="BA245" s="5"/>
      <c r="BB245" s="5"/>
      <c r="BC245" s="5"/>
      <c r="BD245" s="5"/>
      <c r="BE245" s="5"/>
      <c r="BF245" s="5"/>
      <c r="BG245" s="5"/>
    </row>
    <row r="246" customFormat="false" ht="15" hidden="false" customHeight="true" outlineLevel="0" collapsed="false">
      <c r="A246" s="35" t="s">
        <v>27</v>
      </c>
      <c r="B246" s="37"/>
      <c r="C246" s="38"/>
      <c r="D246" s="102"/>
      <c r="E246" s="101"/>
      <c r="F246" s="40"/>
      <c r="G246" s="42"/>
      <c r="H246" s="239"/>
      <c r="I246" s="180"/>
      <c r="J246" s="178"/>
      <c r="K246" s="179" t="n">
        <f aca="false">$I$246+$J$246</f>
        <v>0</v>
      </c>
      <c r="L246" s="219"/>
      <c r="M246" s="220"/>
      <c r="N246" s="220"/>
      <c r="O246" s="220"/>
      <c r="P246" s="220"/>
      <c r="Q246" s="221"/>
      <c r="R246" s="221"/>
      <c r="S246" s="221"/>
      <c r="T246" s="220"/>
      <c r="U246" s="222" t="s">
        <v>155</v>
      </c>
      <c r="V246" s="223" t="s">
        <v>190</v>
      </c>
      <c r="W246" s="224" t="n">
        <v>208</v>
      </c>
      <c r="X246" s="212"/>
      <c r="Y246" s="225"/>
      <c r="Z246" s="225"/>
      <c r="AA246" s="226" t="n">
        <v>114</v>
      </c>
      <c r="AB246" s="227" t="s">
        <v>191</v>
      </c>
      <c r="AC246" s="241" t="n">
        <v>2</v>
      </c>
      <c r="AD246" s="243" t="s">
        <v>192</v>
      </c>
      <c r="AE246" s="229" t="n">
        <v>12</v>
      </c>
      <c r="AF246" s="229" t="s">
        <v>193</v>
      </c>
      <c r="AG246" s="229"/>
      <c r="AH246" s="238" t="n">
        <v>6</v>
      </c>
      <c r="AI246" s="240" t="n">
        <v>6</v>
      </c>
      <c r="AJ246" s="229"/>
      <c r="AK246" s="230" t="n">
        <v>14</v>
      </c>
      <c r="AL246" s="232" t="s">
        <v>194</v>
      </c>
      <c r="AM246" s="229"/>
      <c r="AN246" s="229"/>
      <c r="AO246" s="229"/>
      <c r="AP246" s="229"/>
      <c r="AQ246" s="229"/>
      <c r="AR246" s="229"/>
      <c r="AS246" s="229"/>
      <c r="AT246" s="229"/>
      <c r="AU246" s="229"/>
      <c r="AV246" s="229"/>
      <c r="AW246" s="5"/>
      <c r="AX246" s="5"/>
      <c r="AY246" s="5"/>
      <c r="AZ246" s="5"/>
      <c r="BA246" s="5"/>
      <c r="BB246" s="5"/>
      <c r="BC246" s="5"/>
      <c r="BD246" s="5"/>
      <c r="BE246" s="5"/>
      <c r="BF246" s="5"/>
      <c r="BG246" s="5"/>
    </row>
    <row r="247" customFormat="false" ht="15" hidden="false" customHeight="true" outlineLevel="0" collapsed="false">
      <c r="A247" s="35" t="s">
        <v>28</v>
      </c>
      <c r="B247" s="37"/>
      <c r="C247" s="38"/>
      <c r="D247" s="110"/>
      <c r="E247" s="101"/>
      <c r="F247" s="40"/>
      <c r="G247" s="49"/>
      <c r="H247" s="244"/>
      <c r="I247" s="245"/>
      <c r="J247" s="246"/>
      <c r="K247" s="193" t="n">
        <f aca="false">$I$247+$J$247</f>
        <v>0</v>
      </c>
      <c r="L247" s="219"/>
      <c r="M247" s="220"/>
      <c r="N247" s="220"/>
      <c r="O247" s="220"/>
      <c r="P247" s="220"/>
      <c r="Q247" s="221"/>
      <c r="R247" s="221"/>
      <c r="S247" s="221"/>
      <c r="T247" s="220"/>
      <c r="U247" s="222" t="s">
        <v>148</v>
      </c>
      <c r="V247" s="223" t="s">
        <v>195</v>
      </c>
      <c r="W247" s="224" t="n">
        <v>301</v>
      </c>
      <c r="X247" s="212"/>
      <c r="Y247" s="225"/>
      <c r="Z247" s="225"/>
      <c r="AA247" s="226" t="n">
        <v>115</v>
      </c>
      <c r="AB247" s="227" t="s">
        <v>196</v>
      </c>
      <c r="AC247" s="241" t="n">
        <v>3</v>
      </c>
      <c r="AD247" s="243" t="s">
        <v>197</v>
      </c>
      <c r="AG247" s="229"/>
      <c r="AH247" s="238" t="n">
        <v>7</v>
      </c>
      <c r="AI247" s="240" t="n">
        <v>7</v>
      </c>
      <c r="AJ247" s="229"/>
      <c r="AK247" s="230" t="n">
        <v>15</v>
      </c>
      <c r="AL247" s="232" t="s">
        <v>198</v>
      </c>
      <c r="AM247" s="229"/>
      <c r="AN247" s="229"/>
      <c r="AO247" s="229"/>
      <c r="AP247" s="229"/>
      <c r="AQ247" s="229"/>
      <c r="AR247" s="229"/>
      <c r="AS247" s="229"/>
      <c r="AT247" s="229"/>
      <c r="AU247" s="229"/>
      <c r="AV247" s="229"/>
      <c r="AW247" s="5"/>
      <c r="AX247" s="5"/>
      <c r="AY247" s="5"/>
      <c r="AZ247" s="5"/>
      <c r="BA247" s="5"/>
      <c r="BB247" s="5"/>
      <c r="BC247" s="5"/>
      <c r="BD247" s="5"/>
      <c r="BE247" s="5"/>
      <c r="BF247" s="5"/>
      <c r="BG247" s="5"/>
    </row>
    <row r="248" customFormat="false" ht="15" hidden="false" customHeight="true" outlineLevel="0" collapsed="false">
      <c r="A248" s="114" t="s">
        <v>17</v>
      </c>
      <c r="B248" s="247"/>
      <c r="C248" s="247"/>
      <c r="D248" s="247"/>
      <c r="E248" s="247"/>
      <c r="F248" s="247"/>
      <c r="G248" s="247"/>
      <c r="H248" s="248"/>
      <c r="I248" s="188" t="n">
        <f aca="false">SUM(I238:I247)</f>
        <v>0</v>
      </c>
      <c r="J248" s="119" t="n">
        <f aca="false">SUM(J238:J247)</f>
        <v>0</v>
      </c>
      <c r="K248" s="194" t="n">
        <f aca="false">SUM(K238:K247)</f>
        <v>0</v>
      </c>
      <c r="L248" s="219"/>
      <c r="M248" s="220"/>
      <c r="N248" s="220"/>
      <c r="O248" s="220"/>
      <c r="P248" s="220"/>
      <c r="Q248" s="221"/>
      <c r="R248" s="221"/>
      <c r="S248" s="221"/>
      <c r="T248" s="220"/>
      <c r="U248" s="222" t="s">
        <v>148</v>
      </c>
      <c r="V248" s="223" t="s">
        <v>199</v>
      </c>
      <c r="W248" s="224" t="n">
        <v>302</v>
      </c>
      <c r="X248" s="212"/>
      <c r="Y248" s="225"/>
      <c r="Z248" s="225"/>
      <c r="AA248" s="226" t="n">
        <v>116</v>
      </c>
      <c r="AB248" s="227" t="s">
        <v>200</v>
      </c>
      <c r="AC248" s="241" t="n">
        <v>4</v>
      </c>
      <c r="AD248" s="243" t="s">
        <v>201</v>
      </c>
      <c r="AG248" s="229"/>
      <c r="AH248" s="238"/>
      <c r="AI248" s="240"/>
      <c r="AJ248" s="229"/>
      <c r="AK248" s="230" t="n">
        <v>16</v>
      </c>
      <c r="AL248" s="232" t="s">
        <v>202</v>
      </c>
      <c r="AM248" s="229"/>
      <c r="AN248" s="229"/>
      <c r="AO248" s="229"/>
      <c r="AP248" s="229"/>
      <c r="AQ248" s="229"/>
      <c r="AR248" s="229"/>
      <c r="AS248" s="229"/>
      <c r="AT248" s="229"/>
      <c r="AU248" s="229"/>
      <c r="AV248" s="229"/>
      <c r="AW248" s="5"/>
      <c r="AX248" s="5"/>
      <c r="AY248" s="5"/>
      <c r="AZ248" s="5"/>
      <c r="BA248" s="5"/>
      <c r="BB248" s="5"/>
      <c r="BC248" s="5"/>
      <c r="BD248" s="5"/>
      <c r="BE248" s="5"/>
      <c r="BF248" s="5"/>
      <c r="BG248" s="5"/>
    </row>
    <row r="249" customFormat="false" ht="15" hidden="false" customHeight="true" outlineLevel="0" collapsed="false">
      <c r="A249" s="249"/>
      <c r="B249" s="249"/>
      <c r="C249" s="249"/>
      <c r="D249" s="249"/>
      <c r="E249" s="249"/>
      <c r="F249" s="249"/>
      <c r="G249" s="249"/>
      <c r="H249" s="249"/>
      <c r="I249" s="250"/>
      <c r="J249" s="250"/>
      <c r="K249" s="250"/>
      <c r="L249" s="251"/>
      <c r="M249" s="221"/>
      <c r="N249" s="221"/>
      <c r="O249" s="221"/>
      <c r="P249" s="221"/>
      <c r="Q249" s="221"/>
      <c r="R249" s="221"/>
      <c r="S249" s="221"/>
      <c r="T249" s="221"/>
      <c r="U249" s="222"/>
      <c r="V249" s="223"/>
      <c r="W249" s="224"/>
      <c r="X249" s="212"/>
      <c r="Y249" s="225"/>
      <c r="Z249" s="225"/>
      <c r="AA249" s="226"/>
      <c r="AB249" s="227"/>
      <c r="AC249" s="241"/>
      <c r="AD249" s="243"/>
      <c r="AG249" s="229"/>
      <c r="AH249" s="238"/>
      <c r="AI249" s="240"/>
      <c r="AJ249" s="229"/>
      <c r="AK249" s="230"/>
      <c r="AL249" s="232"/>
      <c r="AM249" s="229"/>
      <c r="AN249" s="229"/>
      <c r="AO249" s="229"/>
      <c r="AP249" s="229"/>
      <c r="AQ249" s="229"/>
      <c r="AR249" s="229"/>
      <c r="AS249" s="229"/>
      <c r="AT249" s="229"/>
      <c r="AU249" s="229"/>
      <c r="AV249" s="229"/>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c r="IU249" s="4"/>
      <c r="IV249" s="4"/>
      <c r="IW249" s="4"/>
    </row>
    <row r="250" customFormat="false" ht="27" hidden="false" customHeight="true" outlineLevel="0" collapsed="false">
      <c r="A250" s="252" t="s">
        <v>203</v>
      </c>
      <c r="B250" s="252"/>
      <c r="C250" s="252"/>
      <c r="D250" s="252"/>
      <c r="E250" s="252"/>
      <c r="F250" s="93"/>
      <c r="G250" s="93"/>
      <c r="K250" s="218"/>
      <c r="L250" s="219"/>
      <c r="M250" s="220"/>
      <c r="N250" s="220"/>
      <c r="O250" s="220"/>
      <c r="P250" s="220"/>
      <c r="Q250" s="221"/>
      <c r="R250" s="221"/>
      <c r="S250" s="221"/>
      <c r="T250" s="220"/>
      <c r="U250" s="222" t="s">
        <v>148</v>
      </c>
      <c r="V250" s="223" t="s">
        <v>204</v>
      </c>
      <c r="W250" s="224" t="n">
        <v>303</v>
      </c>
      <c r="X250" s="212"/>
      <c r="Y250" s="225"/>
      <c r="Z250" s="225"/>
      <c r="AA250" s="226" t="n">
        <v>117</v>
      </c>
      <c r="AB250" s="227" t="s">
        <v>205</v>
      </c>
      <c r="AC250" s="241" t="n">
        <v>5</v>
      </c>
      <c r="AD250" s="243" t="s">
        <v>206</v>
      </c>
      <c r="AE250" s="234" t="s">
        <v>113</v>
      </c>
      <c r="AF250" s="234" t="s">
        <v>108</v>
      </c>
      <c r="AG250" s="229"/>
      <c r="AH250" s="238" t="s">
        <v>113</v>
      </c>
      <c r="AI250" s="240" t="s">
        <v>207</v>
      </c>
      <c r="AJ250" s="229"/>
      <c r="AK250" s="230" t="n">
        <v>17</v>
      </c>
      <c r="AL250" s="232" t="s">
        <v>208</v>
      </c>
      <c r="AM250" s="229"/>
      <c r="AN250" s="229"/>
      <c r="AO250" s="229"/>
      <c r="AP250" s="229"/>
      <c r="AQ250" s="229"/>
      <c r="AR250" s="229"/>
      <c r="AS250" s="229"/>
      <c r="AT250" s="229"/>
      <c r="AU250" s="229"/>
      <c r="AV250" s="229"/>
      <c r="AW250" s="5"/>
      <c r="AX250" s="5"/>
      <c r="AY250" s="5"/>
      <c r="AZ250" s="5"/>
      <c r="BA250" s="5"/>
      <c r="BB250" s="5"/>
      <c r="BC250" s="5"/>
      <c r="BD250" s="5"/>
      <c r="BE250" s="5"/>
      <c r="BF250" s="5"/>
      <c r="BG250" s="5"/>
    </row>
    <row r="251" customFormat="false" ht="15" hidden="false" customHeight="true" outlineLevel="0" collapsed="false">
      <c r="A251" s="202" t="s">
        <v>120</v>
      </c>
      <c r="B251" s="203"/>
      <c r="C251" s="93"/>
      <c r="D251" s="93"/>
      <c r="E251" s="93"/>
      <c r="F251" s="93"/>
      <c r="G251" s="93"/>
      <c r="K251" s="218"/>
      <c r="L251" s="219"/>
      <c r="M251" s="220"/>
      <c r="N251" s="220"/>
      <c r="O251" s="220"/>
      <c r="P251" s="220"/>
      <c r="Q251" s="221"/>
      <c r="R251" s="221"/>
      <c r="S251" s="221"/>
      <c r="T251" s="220"/>
      <c r="U251" s="222" t="s">
        <v>148</v>
      </c>
      <c r="V251" s="223" t="s">
        <v>209</v>
      </c>
      <c r="W251" s="224" t="n">
        <v>305</v>
      </c>
      <c r="X251" s="212"/>
      <c r="Y251" s="225"/>
      <c r="Z251" s="225"/>
      <c r="AA251" s="226" t="n">
        <v>119</v>
      </c>
      <c r="AB251" s="227" t="s">
        <v>210</v>
      </c>
      <c r="AC251" s="241" t="n">
        <v>7</v>
      </c>
      <c r="AD251" s="243" t="s">
        <v>211</v>
      </c>
      <c r="AE251" s="234" t="n">
        <v>2</v>
      </c>
      <c r="AF251" s="232" t="s">
        <v>161</v>
      </c>
      <c r="AG251" s="229"/>
      <c r="AH251" s="238" t="n">
        <v>2</v>
      </c>
      <c r="AI251" s="240" t="n">
        <v>19</v>
      </c>
      <c r="AJ251" s="229"/>
      <c r="AK251" s="230" t="n">
        <v>19</v>
      </c>
      <c r="AL251" s="232" t="s">
        <v>212</v>
      </c>
      <c r="AM251" s="229"/>
      <c r="AN251" s="229"/>
      <c r="AO251" s="229"/>
      <c r="AP251" s="229"/>
      <c r="AQ251" s="229"/>
      <c r="AR251" s="229"/>
      <c r="AS251" s="229"/>
      <c r="AT251" s="229"/>
      <c r="AU251" s="229"/>
      <c r="AV251" s="229"/>
      <c r="AW251" s="5"/>
      <c r="AX251" s="5"/>
      <c r="AY251" s="5"/>
      <c r="AZ251" s="5"/>
      <c r="BA251" s="5"/>
      <c r="BB251" s="5"/>
      <c r="BC251" s="5"/>
      <c r="BD251" s="5"/>
      <c r="BE251" s="5"/>
      <c r="BF251" s="5"/>
      <c r="BG251" s="5"/>
    </row>
    <row r="252" customFormat="false" ht="15" hidden="false" customHeight="true" outlineLevel="0" collapsed="false">
      <c r="C252" s="93"/>
      <c r="D252" s="93"/>
      <c r="E252" s="93"/>
      <c r="F252" s="93"/>
      <c r="G252" s="93"/>
      <c r="K252" s="218"/>
      <c r="L252" s="219"/>
      <c r="M252" s="220"/>
      <c r="N252" s="220"/>
      <c r="O252" s="220"/>
      <c r="P252" s="220"/>
      <c r="Q252" s="221"/>
      <c r="R252" s="221"/>
      <c r="S252" s="221"/>
      <c r="T252" s="220"/>
      <c r="U252" s="222" t="s">
        <v>148</v>
      </c>
      <c r="V252" s="223" t="s">
        <v>213</v>
      </c>
      <c r="W252" s="224" t="n">
        <v>307</v>
      </c>
      <c r="X252" s="212"/>
      <c r="Y252" s="225"/>
      <c r="Z252" s="225"/>
      <c r="AA252" s="226" t="n">
        <v>121</v>
      </c>
      <c r="AB252" s="227" t="s">
        <v>214</v>
      </c>
      <c r="AC252" s="241" t="n">
        <v>9</v>
      </c>
      <c r="AD252" s="243" t="s">
        <v>215</v>
      </c>
      <c r="AE252" s="234" t="n">
        <v>4</v>
      </c>
      <c r="AF252" s="232" t="s">
        <v>172</v>
      </c>
      <c r="AG252" s="229"/>
      <c r="AH252" s="238" t="n">
        <v>4</v>
      </c>
      <c r="AI252" s="240" t="n">
        <v>21</v>
      </c>
      <c r="AJ252" s="229"/>
      <c r="AK252" s="230" t="n">
        <v>21</v>
      </c>
      <c r="AL252" s="232" t="s">
        <v>216</v>
      </c>
      <c r="AM252" s="229"/>
      <c r="AN252" s="229"/>
      <c r="AO252" s="229"/>
      <c r="AP252" s="229"/>
      <c r="AQ252" s="229"/>
      <c r="AR252" s="229"/>
      <c r="AS252" s="229"/>
      <c r="AT252" s="229"/>
      <c r="AU252" s="229"/>
      <c r="AV252" s="229"/>
      <c r="AW252" s="5"/>
      <c r="AX252" s="5"/>
      <c r="AY252" s="5"/>
      <c r="AZ252" s="5"/>
      <c r="BA252" s="5"/>
      <c r="BB252" s="5"/>
      <c r="BC252" s="5"/>
      <c r="BD252" s="5"/>
      <c r="BE252" s="5"/>
      <c r="BF252" s="5"/>
      <c r="BG252" s="5"/>
    </row>
    <row r="253" customFormat="false" ht="15" hidden="false" customHeight="true" outlineLevel="0" collapsed="false">
      <c r="A253" s="253" t="s">
        <v>217</v>
      </c>
      <c r="B253" s="253"/>
      <c r="C253" s="253"/>
      <c r="D253" s="253"/>
      <c r="E253" s="253"/>
      <c r="F253" s="165"/>
      <c r="G253" s="165"/>
      <c r="H253" s="165"/>
      <c r="I253" s="165"/>
      <c r="J253" s="165"/>
      <c r="K253" s="254"/>
      <c r="L253" s="255"/>
      <c r="M253" s="221"/>
      <c r="N253" s="221"/>
      <c r="O253" s="221"/>
      <c r="P253" s="221"/>
      <c r="Q253" s="220"/>
      <c r="R253" s="220"/>
      <c r="S253" s="220"/>
      <c r="T253" s="220"/>
      <c r="U253" s="222" t="s">
        <v>148</v>
      </c>
      <c r="V253" s="223" t="s">
        <v>218</v>
      </c>
      <c r="W253" s="224" t="n">
        <v>308</v>
      </c>
      <c r="X253" s="212"/>
      <c r="Y253" s="225"/>
      <c r="Z253" s="225"/>
      <c r="AA253" s="226" t="n">
        <v>122</v>
      </c>
      <c r="AB253" s="227" t="s">
        <v>219</v>
      </c>
      <c r="AC253" s="241" t="n">
        <v>10</v>
      </c>
      <c r="AD253" s="243" t="s">
        <v>220</v>
      </c>
      <c r="AE253" s="234" t="n">
        <v>5</v>
      </c>
      <c r="AF253" s="232" t="s">
        <v>177</v>
      </c>
      <c r="AG253" s="229"/>
      <c r="AH253" s="238" t="n">
        <v>5</v>
      </c>
      <c r="AI253" s="240" t="n">
        <v>22</v>
      </c>
      <c r="AJ253" s="229"/>
      <c r="AK253" s="230" t="n">
        <v>22</v>
      </c>
      <c r="AL253" s="232" t="s">
        <v>221</v>
      </c>
      <c r="AM253" s="229"/>
      <c r="AN253" s="229"/>
      <c r="AO253" s="229"/>
      <c r="AP253" s="229"/>
      <c r="AQ253" s="229"/>
      <c r="AR253" s="229"/>
      <c r="AS253" s="229"/>
      <c r="AT253" s="229"/>
      <c r="AU253" s="229"/>
      <c r="AV253" s="229"/>
      <c r="AW253" s="5"/>
      <c r="AX253" s="5"/>
      <c r="AY253" s="5"/>
      <c r="AZ253" s="5"/>
      <c r="BA253" s="5"/>
      <c r="BB253" s="5"/>
      <c r="BC253" s="5"/>
      <c r="BD253" s="5"/>
      <c r="BE253" s="5"/>
      <c r="BF253" s="5"/>
      <c r="BG253" s="5"/>
    </row>
    <row r="254" customFormat="false" ht="15" hidden="false" customHeight="true" outlineLevel="0" collapsed="false">
      <c r="A254" s="88" t="s">
        <v>222</v>
      </c>
      <c r="B254" s="88" t="s">
        <v>83</v>
      </c>
      <c r="C254" s="88"/>
      <c r="D254" s="88"/>
      <c r="E254" s="88" t="s">
        <v>84</v>
      </c>
      <c r="F254" s="88"/>
      <c r="G254" s="88"/>
      <c r="H254" s="88" t="s">
        <v>85</v>
      </c>
      <c r="I254" s="88"/>
      <c r="J254" s="88"/>
      <c r="K254" s="256"/>
      <c r="L254" s="219"/>
      <c r="M254" s="220"/>
      <c r="N254" s="220"/>
      <c r="O254" s="220"/>
      <c r="P254" s="220"/>
      <c r="Q254" s="220"/>
      <c r="R254" s="220"/>
      <c r="S254" s="220"/>
      <c r="T254" s="220"/>
      <c r="U254" s="222" t="s">
        <v>148</v>
      </c>
      <c r="V254" s="223" t="s">
        <v>223</v>
      </c>
      <c r="W254" s="224" t="n">
        <v>309</v>
      </c>
      <c r="X254" s="212"/>
      <c r="Y254" s="225"/>
      <c r="Z254" s="225"/>
      <c r="AA254" s="226" t="n">
        <v>123</v>
      </c>
      <c r="AB254" s="227" t="s">
        <v>224</v>
      </c>
      <c r="AC254" s="241" t="n">
        <v>11</v>
      </c>
      <c r="AD254" s="243" t="s">
        <v>225</v>
      </c>
      <c r="AE254" s="234" t="n">
        <v>6</v>
      </c>
      <c r="AF254" s="232" t="s">
        <v>186</v>
      </c>
      <c r="AG254" s="229"/>
      <c r="AH254" s="238" t="n">
        <v>6</v>
      </c>
      <c r="AI254" s="240" t="n">
        <v>23</v>
      </c>
      <c r="AJ254" s="229"/>
      <c r="AK254" s="230" t="n">
        <v>23</v>
      </c>
      <c r="AL254" s="232" t="s">
        <v>226</v>
      </c>
      <c r="AM254" s="229"/>
      <c r="AN254" s="229"/>
      <c r="AO254" s="229"/>
      <c r="AP254" s="229"/>
      <c r="AQ254" s="229"/>
      <c r="AR254" s="229"/>
      <c r="AS254" s="229"/>
      <c r="AT254" s="229"/>
      <c r="AU254" s="229"/>
      <c r="AV254" s="229"/>
      <c r="AW254" s="5"/>
      <c r="AX254" s="5"/>
      <c r="AY254" s="5"/>
      <c r="AZ254" s="5"/>
      <c r="BA254" s="5"/>
      <c r="BB254" s="5"/>
      <c r="BC254" s="5"/>
      <c r="BD254" s="5"/>
      <c r="BE254" s="5"/>
      <c r="BF254" s="5"/>
      <c r="BG254" s="5"/>
    </row>
    <row r="255" customFormat="false" ht="15" hidden="false" customHeight="true" outlineLevel="0" collapsed="false">
      <c r="A255" s="88"/>
      <c r="B255" s="92" t="s">
        <v>15</v>
      </c>
      <c r="C255" s="90" t="s">
        <v>16</v>
      </c>
      <c r="D255" s="95" t="s">
        <v>17</v>
      </c>
      <c r="E255" s="88" t="s">
        <v>15</v>
      </c>
      <c r="F255" s="257" t="s">
        <v>16</v>
      </c>
      <c r="G255" s="258" t="s">
        <v>17</v>
      </c>
      <c r="H255" s="88" t="s">
        <v>15</v>
      </c>
      <c r="I255" s="90" t="s">
        <v>16</v>
      </c>
      <c r="J255" s="95" t="s">
        <v>17</v>
      </c>
      <c r="K255" s="256"/>
      <c r="L255" s="219"/>
      <c r="M255" s="220"/>
      <c r="N255" s="220"/>
      <c r="O255" s="220"/>
      <c r="P255" s="220"/>
      <c r="Q255" s="220"/>
      <c r="R255" s="220"/>
      <c r="S255" s="220"/>
      <c r="T255" s="220"/>
      <c r="U255" s="222" t="s">
        <v>148</v>
      </c>
      <c r="V255" s="223" t="s">
        <v>227</v>
      </c>
      <c r="W255" s="224" t="n">
        <v>310</v>
      </c>
      <c r="X255" s="212"/>
      <c r="Y255" s="225"/>
      <c r="Z255" s="225"/>
      <c r="AA255" s="226" t="n">
        <v>124</v>
      </c>
      <c r="AB255" s="227" t="s">
        <v>228</v>
      </c>
      <c r="AC255" s="241" t="n">
        <v>12</v>
      </c>
      <c r="AD255" s="243" t="s">
        <v>229</v>
      </c>
      <c r="AE255" s="234" t="n">
        <v>7</v>
      </c>
      <c r="AF255" s="232" t="s">
        <v>195</v>
      </c>
      <c r="AG255" s="229"/>
      <c r="AH255" s="238" t="n">
        <v>7</v>
      </c>
      <c r="AI255" s="240" t="n">
        <v>24</v>
      </c>
      <c r="AJ255" s="229"/>
      <c r="AK255" s="230" t="n">
        <v>24</v>
      </c>
      <c r="AL255" s="232" t="s">
        <v>230</v>
      </c>
      <c r="AM255" s="229"/>
      <c r="AN255" s="229"/>
      <c r="AO255" s="229"/>
      <c r="AP255" s="229"/>
      <c r="AQ255" s="229"/>
      <c r="AR255" s="229"/>
      <c r="AS255" s="229"/>
      <c r="AT255" s="229"/>
      <c r="AU255" s="229"/>
      <c r="AV255" s="229"/>
      <c r="AW255" s="5"/>
      <c r="AX255" s="5"/>
      <c r="AY255" s="5"/>
      <c r="AZ255" s="5"/>
      <c r="BA255" s="5"/>
      <c r="BB255" s="5"/>
      <c r="BC255" s="5"/>
      <c r="BD255" s="5"/>
      <c r="BE255" s="5"/>
      <c r="BF255" s="5"/>
      <c r="BG255" s="5"/>
    </row>
    <row r="256" customFormat="false" ht="15" hidden="false" customHeight="true" outlineLevel="0" collapsed="false">
      <c r="A256" s="96"/>
      <c r="B256" s="100"/>
      <c r="C256" s="98"/>
      <c r="D256" s="145" t="n">
        <f aca="false">$B$256+$C$256</f>
        <v>0</v>
      </c>
      <c r="E256" s="146"/>
      <c r="F256" s="259"/>
      <c r="G256" s="260" t="n">
        <f aca="false">$E$256+$F$256</f>
        <v>0</v>
      </c>
      <c r="H256" s="146"/>
      <c r="I256" s="98"/>
      <c r="J256" s="145" t="n">
        <f aca="false">$H$256+$I$256</f>
        <v>0</v>
      </c>
      <c r="K256" s="256"/>
      <c r="L256" s="219"/>
      <c r="M256" s="220"/>
      <c r="N256" s="220"/>
      <c r="O256" s="220"/>
      <c r="P256" s="220"/>
      <c r="Q256" s="220"/>
      <c r="R256" s="220"/>
      <c r="S256" s="220"/>
      <c r="T256" s="220"/>
      <c r="U256" s="222" t="s">
        <v>148</v>
      </c>
      <c r="V256" s="223" t="s">
        <v>231</v>
      </c>
      <c r="W256" s="224" t="n">
        <v>311</v>
      </c>
      <c r="X256" s="212"/>
      <c r="Y256" s="225"/>
      <c r="Z256" s="225"/>
      <c r="AA256" s="226" t="n">
        <v>125</v>
      </c>
      <c r="AB256" s="227" t="s">
        <v>232</v>
      </c>
      <c r="AC256" s="241" t="n">
        <v>13</v>
      </c>
      <c r="AD256" s="243" t="s">
        <v>233</v>
      </c>
      <c r="AE256" s="234" t="n">
        <v>8</v>
      </c>
      <c r="AF256" s="232" t="s">
        <v>234</v>
      </c>
      <c r="AG256" s="229"/>
      <c r="AH256" s="238" t="n">
        <v>8</v>
      </c>
      <c r="AI256" s="240" t="n">
        <v>25</v>
      </c>
      <c r="AJ256" s="229"/>
      <c r="AK256" s="230" t="n">
        <v>25</v>
      </c>
      <c r="AL256" s="232" t="s">
        <v>235</v>
      </c>
      <c r="AM256" s="229"/>
      <c r="AN256" s="229"/>
      <c r="AO256" s="229"/>
      <c r="AP256" s="229"/>
      <c r="AQ256" s="229"/>
      <c r="AR256" s="229"/>
      <c r="AS256" s="229"/>
      <c r="AT256" s="229"/>
      <c r="AU256" s="229"/>
      <c r="AV256" s="229"/>
      <c r="AW256" s="5"/>
      <c r="AX256" s="5"/>
      <c r="AY256" s="5"/>
      <c r="AZ256" s="5"/>
      <c r="BA256" s="5"/>
      <c r="BB256" s="5"/>
      <c r="BC256" s="5"/>
      <c r="BD256" s="5"/>
      <c r="BE256" s="5"/>
      <c r="BF256" s="5"/>
      <c r="BG256" s="5"/>
    </row>
    <row r="257" customFormat="false" ht="15" hidden="false" customHeight="true" outlineLevel="0" collapsed="false">
      <c r="A257" s="101"/>
      <c r="B257" s="105"/>
      <c r="C257" s="103"/>
      <c r="D257" s="149" t="n">
        <f aca="false">$B$257+$C$257</f>
        <v>0</v>
      </c>
      <c r="E257" s="150"/>
      <c r="F257" s="261"/>
      <c r="G257" s="262" t="n">
        <f aca="false">$E$257+$F$257</f>
        <v>0</v>
      </c>
      <c r="H257" s="150"/>
      <c r="I257" s="103"/>
      <c r="J257" s="149" t="n">
        <f aca="false">$H$257+$I$257</f>
        <v>0</v>
      </c>
      <c r="K257" s="256"/>
      <c r="L257" s="219"/>
      <c r="M257" s="220"/>
      <c r="N257" s="220"/>
      <c r="O257" s="220"/>
      <c r="P257" s="220"/>
      <c r="Q257" s="220"/>
      <c r="R257" s="220"/>
      <c r="S257" s="220"/>
      <c r="T257" s="220"/>
      <c r="U257" s="222" t="s">
        <v>148</v>
      </c>
      <c r="V257" s="223" t="s">
        <v>236</v>
      </c>
      <c r="W257" s="224" t="n">
        <v>312</v>
      </c>
      <c r="X257" s="212"/>
      <c r="Y257" s="225"/>
      <c r="Z257" s="225"/>
      <c r="AA257" s="226" t="n">
        <v>126</v>
      </c>
      <c r="AB257" s="227" t="s">
        <v>237</v>
      </c>
      <c r="AC257" s="241" t="n">
        <v>14</v>
      </c>
      <c r="AD257" s="243" t="s">
        <v>238</v>
      </c>
      <c r="AE257" s="234" t="n">
        <v>9</v>
      </c>
      <c r="AF257" s="232" t="s">
        <v>239</v>
      </c>
      <c r="AG257" s="229"/>
      <c r="AH257" s="238" t="n">
        <v>9</v>
      </c>
      <c r="AI257" s="240" t="n">
        <v>26</v>
      </c>
      <c r="AJ257" s="229"/>
      <c r="AK257" s="230" t="n">
        <v>26</v>
      </c>
      <c r="AL257" s="232" t="s">
        <v>240</v>
      </c>
      <c r="AM257" s="229"/>
      <c r="AN257" s="229"/>
      <c r="AO257" s="229"/>
      <c r="AP257" s="229"/>
      <c r="AQ257" s="229"/>
      <c r="AR257" s="229"/>
      <c r="AS257" s="229"/>
      <c r="AT257" s="229"/>
      <c r="AU257" s="229"/>
      <c r="AV257" s="229"/>
      <c r="AW257" s="5"/>
      <c r="AX257" s="5"/>
      <c r="AY257" s="5"/>
      <c r="AZ257" s="5"/>
      <c r="BA257" s="5"/>
      <c r="BB257" s="5"/>
      <c r="BC257" s="5"/>
      <c r="BD257" s="5"/>
      <c r="BE257" s="5"/>
      <c r="BF257" s="5"/>
      <c r="BG257" s="5"/>
    </row>
    <row r="258" customFormat="false" ht="15" hidden="false" customHeight="true" outlineLevel="0" collapsed="false">
      <c r="A258" s="101"/>
      <c r="B258" s="105"/>
      <c r="C258" s="103"/>
      <c r="D258" s="149" t="n">
        <f aca="false">$B$258+$C$258</f>
        <v>0</v>
      </c>
      <c r="E258" s="150"/>
      <c r="F258" s="261"/>
      <c r="G258" s="262" t="n">
        <f aca="false">$E$258+$F$258</f>
        <v>0</v>
      </c>
      <c r="H258" s="150"/>
      <c r="I258" s="103"/>
      <c r="J258" s="149" t="n">
        <f aca="false">$H$258+$I$258</f>
        <v>0</v>
      </c>
      <c r="K258" s="256"/>
      <c r="L258" s="251"/>
      <c r="M258" s="221"/>
      <c r="N258" s="221"/>
      <c r="O258" s="220"/>
      <c r="P258" s="220"/>
      <c r="Q258" s="220"/>
      <c r="R258" s="220"/>
      <c r="S258" s="220"/>
      <c r="T258" s="220"/>
      <c r="U258" s="222" t="s">
        <v>148</v>
      </c>
      <c r="V258" s="223" t="s">
        <v>241</v>
      </c>
      <c r="W258" s="224" t="n">
        <v>313</v>
      </c>
      <c r="X258" s="212"/>
      <c r="Y258" s="225"/>
      <c r="Z258" s="225"/>
      <c r="AA258" s="226" t="n">
        <v>127</v>
      </c>
      <c r="AB258" s="227" t="s">
        <v>242</v>
      </c>
      <c r="AC258" s="241" t="n">
        <v>15</v>
      </c>
      <c r="AD258" s="243" t="s">
        <v>243</v>
      </c>
      <c r="AE258" s="234" t="n">
        <v>10</v>
      </c>
      <c r="AF258" s="232" t="s">
        <v>244</v>
      </c>
      <c r="AG258" s="229"/>
      <c r="AH258" s="238" t="n">
        <v>10</v>
      </c>
      <c r="AI258" s="240" t="n">
        <v>27</v>
      </c>
      <c r="AJ258" s="229"/>
      <c r="AK258" s="230" t="n">
        <v>10</v>
      </c>
      <c r="AL258" s="232" t="s">
        <v>176</v>
      </c>
      <c r="AM258" s="229"/>
      <c r="AN258" s="229"/>
      <c r="AO258" s="229"/>
      <c r="AP258" s="229"/>
      <c r="AQ258" s="229"/>
      <c r="AR258" s="229"/>
      <c r="AS258" s="229"/>
      <c r="AT258" s="229"/>
      <c r="AU258" s="229"/>
      <c r="AV258" s="229"/>
      <c r="AW258" s="5"/>
      <c r="AX258" s="5"/>
      <c r="AY258" s="5"/>
      <c r="AZ258" s="5"/>
      <c r="BA258" s="5"/>
      <c r="BB258" s="5"/>
      <c r="BC258" s="5"/>
      <c r="BD258" s="5"/>
      <c r="BE258" s="5"/>
      <c r="BF258" s="5"/>
      <c r="BG258" s="5"/>
    </row>
    <row r="259" customFormat="false" ht="15" hidden="false" customHeight="true" outlineLevel="0" collapsed="false">
      <c r="A259" s="101"/>
      <c r="B259" s="105"/>
      <c r="C259" s="103"/>
      <c r="D259" s="149" t="n">
        <f aca="false">$B$259+$C$259</f>
        <v>0</v>
      </c>
      <c r="E259" s="150"/>
      <c r="F259" s="261"/>
      <c r="G259" s="262" t="n">
        <f aca="false">$E$259+$F$259</f>
        <v>0</v>
      </c>
      <c r="H259" s="150"/>
      <c r="I259" s="103"/>
      <c r="J259" s="149" t="n">
        <f aca="false">$H$259+$I$259</f>
        <v>0</v>
      </c>
      <c r="K259" s="256"/>
      <c r="L259" s="251"/>
      <c r="M259" s="221"/>
      <c r="N259" s="221"/>
      <c r="O259" s="220"/>
      <c r="P259" s="220"/>
      <c r="Q259" s="220"/>
      <c r="R259" s="220"/>
      <c r="S259" s="220"/>
      <c r="T259" s="220"/>
      <c r="U259" s="222" t="s">
        <v>148</v>
      </c>
      <c r="V259" s="223" t="s">
        <v>245</v>
      </c>
      <c r="W259" s="224" t="n">
        <v>314</v>
      </c>
      <c r="X259" s="212"/>
      <c r="Y259" s="225"/>
      <c r="Z259" s="225"/>
      <c r="AA259" s="226" t="n">
        <v>128</v>
      </c>
      <c r="AB259" s="227" t="s">
        <v>246</v>
      </c>
      <c r="AC259" s="241" t="n">
        <v>16</v>
      </c>
      <c r="AD259" s="243" t="s">
        <v>247</v>
      </c>
      <c r="AE259" s="234" t="n">
        <v>11</v>
      </c>
      <c r="AF259" s="232" t="s">
        <v>213</v>
      </c>
      <c r="AG259" s="229"/>
      <c r="AH259" s="238" t="n">
        <v>11</v>
      </c>
      <c r="AI259" s="240" t="n">
        <v>28</v>
      </c>
      <c r="AJ259" s="229"/>
      <c r="AK259" s="230" t="n">
        <v>11</v>
      </c>
      <c r="AL259" s="232" t="s">
        <v>180</v>
      </c>
      <c r="AM259" s="229"/>
      <c r="AN259" s="229"/>
      <c r="AO259" s="229"/>
      <c r="AP259" s="229"/>
      <c r="AQ259" s="229"/>
      <c r="AR259" s="229"/>
      <c r="AS259" s="229"/>
      <c r="AT259" s="229"/>
      <c r="AU259" s="229"/>
      <c r="AV259" s="229"/>
      <c r="AW259" s="5"/>
      <c r="AX259" s="5"/>
      <c r="AY259" s="5"/>
      <c r="AZ259" s="5"/>
      <c r="BA259" s="5"/>
      <c r="BB259" s="5"/>
      <c r="BC259" s="5"/>
      <c r="BD259" s="5"/>
      <c r="BE259" s="5"/>
      <c r="BF259" s="5"/>
      <c r="BG259" s="5"/>
    </row>
    <row r="260" customFormat="false" ht="15" hidden="false" customHeight="true" outlineLevel="0" collapsed="false">
      <c r="A260" s="101"/>
      <c r="B260" s="105"/>
      <c r="C260" s="103"/>
      <c r="D260" s="149" t="n">
        <f aca="false">$B$260+$C$260</f>
        <v>0</v>
      </c>
      <c r="E260" s="150"/>
      <c r="F260" s="261"/>
      <c r="G260" s="262" t="n">
        <f aca="false">$E$260+$F$260</f>
        <v>0</v>
      </c>
      <c r="H260" s="150"/>
      <c r="I260" s="103"/>
      <c r="J260" s="149" t="n">
        <f aca="false">$H$260+$I$260</f>
        <v>0</v>
      </c>
      <c r="K260" s="256"/>
      <c r="L260" s="251"/>
      <c r="M260" s="221"/>
      <c r="N260" s="221"/>
      <c r="O260" s="221"/>
      <c r="P260" s="221"/>
      <c r="Q260" s="221"/>
      <c r="R260" s="221"/>
      <c r="S260" s="221"/>
      <c r="T260" s="220"/>
      <c r="U260" s="222" t="s">
        <v>153</v>
      </c>
      <c r="V260" s="223" t="s">
        <v>248</v>
      </c>
      <c r="W260" s="224" t="n">
        <v>401</v>
      </c>
      <c r="X260" s="212"/>
      <c r="Y260" s="225"/>
      <c r="Z260" s="225"/>
      <c r="AA260" s="226" t="n">
        <v>129</v>
      </c>
      <c r="AB260" s="227" t="s">
        <v>249</v>
      </c>
      <c r="AC260" s="241" t="n">
        <v>17</v>
      </c>
      <c r="AD260" s="243" t="s">
        <v>250</v>
      </c>
      <c r="AE260" s="234" t="n">
        <v>12</v>
      </c>
      <c r="AF260" s="232" t="s">
        <v>153</v>
      </c>
      <c r="AG260" s="229"/>
      <c r="AH260" s="238" t="n">
        <v>12</v>
      </c>
      <c r="AI260" s="240" t="n">
        <v>29</v>
      </c>
      <c r="AJ260" s="229"/>
      <c r="AK260" s="230" t="n">
        <v>12</v>
      </c>
      <c r="AL260" s="232" t="s">
        <v>185</v>
      </c>
      <c r="AM260" s="229"/>
      <c r="AN260" s="229"/>
      <c r="AO260" s="229"/>
      <c r="AP260" s="229"/>
      <c r="AQ260" s="229"/>
      <c r="AR260" s="229"/>
      <c r="AS260" s="229"/>
      <c r="AT260" s="229"/>
      <c r="AU260" s="229"/>
      <c r="AV260" s="229"/>
      <c r="AW260" s="5"/>
      <c r="AX260" s="5"/>
      <c r="AY260" s="5"/>
      <c r="AZ260" s="5"/>
      <c r="BA260" s="5"/>
      <c r="BB260" s="5"/>
      <c r="BC260" s="5"/>
      <c r="BD260" s="5"/>
      <c r="BE260" s="5"/>
      <c r="BF260" s="5"/>
      <c r="BG260" s="5"/>
    </row>
    <row r="261" customFormat="false" ht="15" hidden="false" customHeight="true" outlineLevel="0" collapsed="false">
      <c r="A261" s="101"/>
      <c r="B261" s="105"/>
      <c r="C261" s="103"/>
      <c r="D261" s="149" t="n">
        <f aca="false">$B$261+$C$261</f>
        <v>0</v>
      </c>
      <c r="E261" s="150"/>
      <c r="F261" s="261"/>
      <c r="G261" s="262" t="n">
        <f aca="false">$E$261+$F$261</f>
        <v>0</v>
      </c>
      <c r="H261" s="150"/>
      <c r="I261" s="103"/>
      <c r="J261" s="149" t="n">
        <f aca="false">$H$261+$I$261</f>
        <v>0</v>
      </c>
      <c r="K261" s="256"/>
      <c r="L261" s="251"/>
      <c r="M261" s="221"/>
      <c r="N261" s="221"/>
      <c r="O261" s="221"/>
      <c r="P261" s="221"/>
      <c r="Q261" s="221"/>
      <c r="R261" s="221"/>
      <c r="S261" s="221"/>
      <c r="T261" s="220"/>
      <c r="U261" s="222" t="s">
        <v>153</v>
      </c>
      <c r="V261" s="223" t="s">
        <v>251</v>
      </c>
      <c r="W261" s="224" t="n">
        <v>402</v>
      </c>
      <c r="X261" s="212"/>
      <c r="Y261" s="225"/>
      <c r="Z261" s="225"/>
      <c r="AA261" s="226" t="n">
        <v>130</v>
      </c>
      <c r="AB261" s="227" t="s">
        <v>252</v>
      </c>
      <c r="AC261" s="241" t="n">
        <v>18</v>
      </c>
      <c r="AD261" s="243" t="s">
        <v>253</v>
      </c>
      <c r="AE261" s="234" t="n">
        <v>13</v>
      </c>
      <c r="AF261" s="232" t="s">
        <v>254</v>
      </c>
      <c r="AG261" s="229"/>
      <c r="AH261" s="238" t="n">
        <v>13</v>
      </c>
      <c r="AI261" s="240" t="n">
        <v>30</v>
      </c>
      <c r="AJ261" s="229"/>
      <c r="AK261" s="230" t="n">
        <v>13</v>
      </c>
      <c r="AL261" s="232" t="s">
        <v>152</v>
      </c>
      <c r="AM261" s="229"/>
      <c r="AN261" s="229"/>
      <c r="AO261" s="229"/>
      <c r="AP261" s="229"/>
      <c r="AQ261" s="229"/>
      <c r="AR261" s="229"/>
      <c r="AS261" s="229"/>
      <c r="AT261" s="229"/>
      <c r="AU261" s="229"/>
      <c r="AV261" s="229"/>
      <c r="AW261" s="5"/>
      <c r="AX261" s="5"/>
      <c r="AY261" s="5"/>
      <c r="AZ261" s="5"/>
      <c r="BA261" s="5"/>
      <c r="BB261" s="5"/>
      <c r="BC261" s="5"/>
      <c r="BD261" s="5"/>
      <c r="BE261" s="5"/>
      <c r="BF261" s="5"/>
      <c r="BG261" s="5"/>
    </row>
    <row r="262" customFormat="false" ht="15" hidden="false" customHeight="true" outlineLevel="0" collapsed="false">
      <c r="A262" s="101"/>
      <c r="B262" s="105"/>
      <c r="C262" s="103"/>
      <c r="D262" s="149" t="n">
        <f aca="false">$B$262+$C$262</f>
        <v>0</v>
      </c>
      <c r="E262" s="150"/>
      <c r="F262" s="261"/>
      <c r="G262" s="262" t="n">
        <f aca="false">$E$262+$F$262</f>
        <v>0</v>
      </c>
      <c r="H262" s="150"/>
      <c r="I262" s="103"/>
      <c r="J262" s="149" t="n">
        <f aca="false">$H$262+$I$262</f>
        <v>0</v>
      </c>
      <c r="K262" s="256"/>
      <c r="L262" s="251"/>
      <c r="M262" s="221"/>
      <c r="N262" s="221"/>
      <c r="O262" s="221"/>
      <c r="P262" s="221"/>
      <c r="Q262" s="221"/>
      <c r="R262" s="221"/>
      <c r="S262" s="221"/>
      <c r="T262" s="220"/>
      <c r="U262" s="222" t="s">
        <v>153</v>
      </c>
      <c r="V262" s="223" t="s">
        <v>255</v>
      </c>
      <c r="W262" s="224" t="n">
        <v>403</v>
      </c>
      <c r="X262" s="212"/>
      <c r="Y262" s="225"/>
      <c r="Z262" s="225"/>
      <c r="AA262" s="226" t="n">
        <v>131</v>
      </c>
      <c r="AB262" s="227" t="s">
        <v>256</v>
      </c>
      <c r="AC262" s="241" t="n">
        <v>19</v>
      </c>
      <c r="AD262" s="243" t="s">
        <v>257</v>
      </c>
      <c r="AE262" s="234" t="n">
        <v>14</v>
      </c>
      <c r="AF262" s="232" t="s">
        <v>258</v>
      </c>
      <c r="AG262" s="229"/>
      <c r="AH262" s="238" t="n">
        <v>14</v>
      </c>
      <c r="AI262" s="240" t="n">
        <v>31</v>
      </c>
      <c r="AJ262" s="229"/>
      <c r="AK262" s="230" t="n">
        <v>14</v>
      </c>
      <c r="AL262" s="232" t="s">
        <v>194</v>
      </c>
      <c r="AM262" s="229"/>
      <c r="AN262" s="229"/>
      <c r="AO262" s="229"/>
      <c r="AP262" s="229"/>
      <c r="AQ262" s="229"/>
      <c r="AR262" s="229"/>
      <c r="AS262" s="229"/>
      <c r="AT262" s="229"/>
      <c r="AU262" s="229"/>
      <c r="AV262" s="229"/>
      <c r="AW262" s="5"/>
      <c r="AX262" s="5"/>
      <c r="AY262" s="5"/>
      <c r="AZ262" s="5"/>
      <c r="BA262" s="5"/>
      <c r="BB262" s="5"/>
      <c r="BC262" s="5"/>
      <c r="BD262" s="5"/>
      <c r="BE262" s="5"/>
      <c r="BF262" s="5"/>
      <c r="BG262" s="5"/>
    </row>
    <row r="263" customFormat="false" ht="15" hidden="false" customHeight="true" outlineLevel="0" collapsed="false">
      <c r="A263" s="101"/>
      <c r="B263" s="180"/>
      <c r="C263" s="178"/>
      <c r="D263" s="149" t="n">
        <f aca="false">$B$263+$C$263</f>
        <v>0</v>
      </c>
      <c r="E263" s="263"/>
      <c r="F263" s="264"/>
      <c r="G263" s="262" t="n">
        <f aca="false">$E$263+$F$263</f>
        <v>0</v>
      </c>
      <c r="H263" s="263"/>
      <c r="I263" s="178"/>
      <c r="J263" s="149" t="n">
        <f aca="false">$H$263+$I$263</f>
        <v>0</v>
      </c>
      <c r="K263" s="256"/>
      <c r="L263" s="251"/>
      <c r="M263" s="221"/>
      <c r="N263" s="221"/>
      <c r="O263" s="221"/>
      <c r="P263" s="221"/>
      <c r="Q263" s="221"/>
      <c r="R263" s="221"/>
      <c r="S263" s="221"/>
      <c r="T263" s="221"/>
      <c r="U263" s="222" t="s">
        <v>153</v>
      </c>
      <c r="V263" s="223" t="s">
        <v>153</v>
      </c>
      <c r="W263" s="224" t="n">
        <v>404</v>
      </c>
      <c r="X263" s="212"/>
      <c r="Y263" s="225"/>
      <c r="Z263" s="225"/>
      <c r="AA263" s="226" t="n">
        <v>132</v>
      </c>
      <c r="AB263" s="227" t="s">
        <v>259</v>
      </c>
      <c r="AC263" s="241" t="n">
        <v>20</v>
      </c>
      <c r="AD263" s="243" t="s">
        <v>260</v>
      </c>
      <c r="AE263" s="234" t="n">
        <v>15</v>
      </c>
      <c r="AF263" s="232" t="s">
        <v>261</v>
      </c>
      <c r="AG263" s="229"/>
      <c r="AH263" s="238" t="n">
        <v>15</v>
      </c>
      <c r="AI263" s="240" t="n">
        <v>32</v>
      </c>
      <c r="AJ263" s="229"/>
      <c r="AK263" s="230" t="n">
        <v>15</v>
      </c>
      <c r="AL263" s="232" t="s">
        <v>198</v>
      </c>
      <c r="AM263" s="229"/>
      <c r="AN263" s="229"/>
      <c r="AO263" s="229"/>
      <c r="AP263" s="229"/>
      <c r="AQ263" s="229"/>
      <c r="AR263" s="229"/>
      <c r="AS263" s="229"/>
      <c r="AT263" s="229"/>
      <c r="AU263" s="229"/>
      <c r="AV263" s="229"/>
      <c r="AW263" s="5"/>
      <c r="AX263" s="5"/>
      <c r="AY263" s="5"/>
      <c r="AZ263" s="5"/>
      <c r="BA263" s="5"/>
      <c r="BB263" s="5"/>
      <c r="BC263" s="5"/>
      <c r="BD263" s="5"/>
      <c r="BE263" s="5"/>
      <c r="BF263" s="5"/>
      <c r="BG263" s="5"/>
    </row>
    <row r="264" customFormat="false" ht="15" hidden="false" customHeight="true" outlineLevel="0" collapsed="false">
      <c r="A264" s="101"/>
      <c r="B264" s="180"/>
      <c r="C264" s="178"/>
      <c r="D264" s="149" t="n">
        <f aca="false">$B$264+$C$264</f>
        <v>0</v>
      </c>
      <c r="E264" s="263"/>
      <c r="F264" s="264"/>
      <c r="G264" s="262" t="n">
        <f aca="false">$E$264+$F$264</f>
        <v>0</v>
      </c>
      <c r="H264" s="263"/>
      <c r="I264" s="178"/>
      <c r="J264" s="149" t="n">
        <f aca="false">$H$264+$I$264</f>
        <v>0</v>
      </c>
      <c r="K264" s="256"/>
      <c r="L264" s="251"/>
      <c r="M264" s="221"/>
      <c r="N264" s="221"/>
      <c r="O264" s="221"/>
      <c r="P264" s="221"/>
      <c r="Q264" s="221"/>
      <c r="R264" s="221"/>
      <c r="S264" s="221"/>
      <c r="T264" s="221"/>
      <c r="U264" s="222" t="s">
        <v>153</v>
      </c>
      <c r="V264" s="223" t="s">
        <v>254</v>
      </c>
      <c r="W264" s="224" t="n">
        <v>405</v>
      </c>
      <c r="X264" s="212"/>
      <c r="Y264" s="225"/>
      <c r="Z264" s="225"/>
      <c r="AA264" s="226" t="n">
        <v>133</v>
      </c>
      <c r="AB264" s="227" t="s">
        <v>262</v>
      </c>
      <c r="AC264" s="241" t="n">
        <v>21</v>
      </c>
      <c r="AD264" s="243" t="s">
        <v>263</v>
      </c>
      <c r="AE264" s="234" t="n">
        <v>16</v>
      </c>
      <c r="AF264" s="232" t="s">
        <v>264</v>
      </c>
      <c r="AG264" s="229"/>
      <c r="AH264" s="238" t="n">
        <v>16</v>
      </c>
      <c r="AI264" s="240" t="n">
        <v>33</v>
      </c>
      <c r="AJ264" s="229"/>
      <c r="AK264" s="230" t="n">
        <v>16</v>
      </c>
      <c r="AL264" s="232" t="s">
        <v>202</v>
      </c>
      <c r="AM264" s="229"/>
      <c r="AN264" s="229"/>
      <c r="AO264" s="229"/>
      <c r="AP264" s="229"/>
      <c r="AQ264" s="229"/>
      <c r="AR264" s="229"/>
      <c r="AS264" s="229"/>
      <c r="AT264" s="229"/>
      <c r="AU264" s="229"/>
      <c r="AV264" s="229"/>
      <c r="AW264" s="5"/>
      <c r="AX264" s="5"/>
      <c r="AY264" s="5"/>
      <c r="AZ264" s="5"/>
      <c r="BA264" s="5"/>
      <c r="BB264" s="5"/>
      <c r="BC264" s="5"/>
      <c r="BD264" s="5"/>
      <c r="BE264" s="5"/>
      <c r="BF264" s="5"/>
      <c r="BG264" s="5"/>
    </row>
    <row r="265" customFormat="false" ht="15" hidden="false" customHeight="true" outlineLevel="0" collapsed="false">
      <c r="A265" s="101"/>
      <c r="B265" s="180"/>
      <c r="C265" s="178"/>
      <c r="D265" s="149" t="n">
        <f aca="false">$B$265+$C$265</f>
        <v>0</v>
      </c>
      <c r="E265" s="263"/>
      <c r="F265" s="264"/>
      <c r="G265" s="262" t="n">
        <f aca="false">$E$265+$F$265</f>
        <v>0</v>
      </c>
      <c r="H265" s="263"/>
      <c r="I265" s="178"/>
      <c r="J265" s="149" t="n">
        <f aca="false">$H$265+$I$265</f>
        <v>0</v>
      </c>
      <c r="K265" s="256"/>
      <c r="L265" s="251"/>
      <c r="M265" s="221"/>
      <c r="N265" s="221"/>
      <c r="O265" s="221"/>
      <c r="P265" s="221"/>
      <c r="Q265" s="221"/>
      <c r="R265" s="221"/>
      <c r="S265" s="221"/>
      <c r="T265" s="221"/>
      <c r="U265" s="222" t="s">
        <v>153</v>
      </c>
      <c r="V265" s="223" t="s">
        <v>265</v>
      </c>
      <c r="W265" s="224" t="n">
        <v>406</v>
      </c>
      <c r="X265" s="212"/>
      <c r="Y265" s="225"/>
      <c r="Z265" s="225"/>
      <c r="AA265" s="226" t="n">
        <v>134</v>
      </c>
      <c r="AB265" s="227" t="s">
        <v>266</v>
      </c>
      <c r="AC265" s="241" t="n">
        <v>22</v>
      </c>
      <c r="AD265" s="243" t="s">
        <v>267</v>
      </c>
      <c r="AE265" s="234" t="n">
        <v>17</v>
      </c>
      <c r="AF265" s="232" t="s">
        <v>268</v>
      </c>
      <c r="AG265" s="229"/>
      <c r="AH265" s="238" t="n">
        <v>17</v>
      </c>
      <c r="AI265" s="240" t="n">
        <v>34</v>
      </c>
      <c r="AJ265" s="229"/>
      <c r="AK265" s="230" t="n">
        <v>17</v>
      </c>
      <c r="AL265" s="232" t="s">
        <v>208</v>
      </c>
      <c r="AM265" s="229"/>
      <c r="AN265" s="229"/>
      <c r="AO265" s="229"/>
      <c r="AP265" s="229"/>
      <c r="AQ265" s="229"/>
      <c r="AR265" s="229"/>
      <c r="AS265" s="229"/>
      <c r="AT265" s="229"/>
      <c r="AU265" s="229"/>
      <c r="AV265" s="229"/>
      <c r="AW265" s="5"/>
      <c r="AX265" s="5"/>
      <c r="AY265" s="5"/>
      <c r="AZ265" s="5"/>
      <c r="BA265" s="5"/>
      <c r="BB265" s="5"/>
      <c r="BC265" s="5"/>
      <c r="BD265" s="5"/>
      <c r="BE265" s="5"/>
      <c r="BF265" s="5"/>
      <c r="BG265" s="5"/>
    </row>
    <row r="266" customFormat="false" ht="15" hidden="false" customHeight="true" outlineLevel="0" collapsed="false">
      <c r="A266" s="101"/>
      <c r="B266" s="180"/>
      <c r="C266" s="178"/>
      <c r="D266" s="149" t="n">
        <f aca="false">$B$266+$C$266</f>
        <v>0</v>
      </c>
      <c r="E266" s="263"/>
      <c r="F266" s="264"/>
      <c r="G266" s="262" t="n">
        <f aca="false">$E$266+$F$266</f>
        <v>0</v>
      </c>
      <c r="H266" s="263"/>
      <c r="I266" s="178"/>
      <c r="J266" s="149" t="n">
        <f aca="false">$H$266+$I$266</f>
        <v>0</v>
      </c>
      <c r="K266" s="256"/>
      <c r="L266" s="251"/>
      <c r="M266" s="221"/>
      <c r="N266" s="221"/>
      <c r="O266" s="221"/>
      <c r="P266" s="221"/>
      <c r="Q266" s="221"/>
      <c r="R266" s="221"/>
      <c r="S266" s="221"/>
      <c r="T266" s="221"/>
      <c r="U266" s="222" t="s">
        <v>153</v>
      </c>
      <c r="V266" s="223" t="s">
        <v>269</v>
      </c>
      <c r="W266" s="224" t="n">
        <v>407</v>
      </c>
      <c r="X266" s="212"/>
      <c r="Y266" s="225"/>
      <c r="Z266" s="225"/>
      <c r="AA266" s="226" t="n">
        <v>135</v>
      </c>
      <c r="AB266" s="227" t="s">
        <v>270</v>
      </c>
      <c r="AC266" s="241" t="n">
        <v>23</v>
      </c>
      <c r="AD266" s="243" t="s">
        <v>271</v>
      </c>
      <c r="AE266" s="234" t="n">
        <v>18</v>
      </c>
      <c r="AF266" s="232" t="s">
        <v>272</v>
      </c>
      <c r="AG266" s="229"/>
      <c r="AH266" s="238" t="n">
        <v>18</v>
      </c>
      <c r="AI266" s="240" t="n">
        <v>35</v>
      </c>
      <c r="AJ266" s="229"/>
      <c r="AK266" s="230" t="n">
        <v>18</v>
      </c>
      <c r="AL266" s="232" t="s">
        <v>273</v>
      </c>
      <c r="AM266" s="229"/>
      <c r="AN266" s="229"/>
      <c r="AO266" s="229"/>
      <c r="AP266" s="229"/>
      <c r="AQ266" s="229"/>
      <c r="AR266" s="229"/>
      <c r="AS266" s="229"/>
      <c r="AT266" s="229"/>
      <c r="AU266" s="229"/>
      <c r="AV266" s="229"/>
      <c r="AW266" s="5"/>
      <c r="AX266" s="5"/>
      <c r="AY266" s="5"/>
      <c r="AZ266" s="5"/>
      <c r="BA266" s="5"/>
      <c r="BB266" s="5"/>
      <c r="BC266" s="5"/>
      <c r="BD266" s="5"/>
      <c r="BE266" s="5"/>
      <c r="BF266" s="5"/>
      <c r="BG266" s="5"/>
    </row>
    <row r="267" customFormat="false" ht="15" hidden="false" customHeight="true" outlineLevel="0" collapsed="false">
      <c r="A267" s="101"/>
      <c r="B267" s="245"/>
      <c r="C267" s="246"/>
      <c r="D267" s="149" t="n">
        <f aca="false">$B$267+$C$267</f>
        <v>0</v>
      </c>
      <c r="E267" s="265"/>
      <c r="F267" s="266"/>
      <c r="G267" s="262" t="n">
        <f aca="false">$E$267+$F$267</f>
        <v>0</v>
      </c>
      <c r="H267" s="265"/>
      <c r="I267" s="266"/>
      <c r="J267" s="262" t="n">
        <f aca="false">$H$267+$I$267</f>
        <v>0</v>
      </c>
      <c r="K267" s="256"/>
      <c r="L267" s="251"/>
      <c r="M267" s="221"/>
      <c r="N267" s="221"/>
      <c r="O267" s="221"/>
      <c r="P267" s="221"/>
      <c r="Q267" s="221"/>
      <c r="R267" s="221"/>
      <c r="S267" s="221"/>
      <c r="T267" s="221"/>
      <c r="U267" s="222" t="s">
        <v>153</v>
      </c>
      <c r="V267" s="223" t="s">
        <v>258</v>
      </c>
      <c r="W267" s="224" t="n">
        <v>408</v>
      </c>
      <c r="X267" s="212"/>
      <c r="Y267" s="225"/>
      <c r="Z267" s="225"/>
      <c r="AA267" s="226" t="n">
        <v>136</v>
      </c>
      <c r="AB267" s="227" t="s">
        <v>274</v>
      </c>
      <c r="AC267" s="241" t="n">
        <v>24</v>
      </c>
      <c r="AD267" s="243" t="s">
        <v>275</v>
      </c>
      <c r="AE267" s="234" t="n">
        <v>19</v>
      </c>
      <c r="AF267" s="232" t="s">
        <v>276</v>
      </c>
      <c r="AG267" s="229"/>
      <c r="AH267" s="238" t="n">
        <v>19</v>
      </c>
      <c r="AI267" s="240" t="n">
        <v>36</v>
      </c>
      <c r="AJ267" s="229"/>
      <c r="AK267" s="230" t="n">
        <v>19</v>
      </c>
      <c r="AL267" s="232" t="s">
        <v>212</v>
      </c>
      <c r="AM267" s="229"/>
      <c r="AN267" s="229"/>
      <c r="AO267" s="229"/>
      <c r="AP267" s="229"/>
      <c r="AQ267" s="229"/>
      <c r="AR267" s="229"/>
      <c r="AS267" s="229"/>
      <c r="AT267" s="229"/>
      <c r="AU267" s="229"/>
      <c r="AV267" s="229"/>
      <c r="AW267" s="5"/>
      <c r="AX267" s="5"/>
      <c r="AY267" s="5"/>
      <c r="AZ267" s="5"/>
      <c r="BA267" s="5"/>
      <c r="BB267" s="5"/>
      <c r="BC267" s="5"/>
      <c r="BD267" s="5"/>
      <c r="BE267" s="5"/>
      <c r="BF267" s="5"/>
      <c r="BG267" s="5"/>
    </row>
    <row r="268" customFormat="false" ht="15" hidden="false" customHeight="true" outlineLevel="0" collapsed="false">
      <c r="A268" s="267" t="s">
        <v>17</v>
      </c>
      <c r="B268" s="188" t="n">
        <f aca="false">SUM(B256:B267)</f>
        <v>0</v>
      </c>
      <c r="C268" s="119" t="n">
        <f aca="false">SUM(C256:C267)</f>
        <v>0</v>
      </c>
      <c r="D268" s="194" t="n">
        <f aca="false">SUM(D256:D267)</f>
        <v>0</v>
      </c>
      <c r="E268" s="118" t="n">
        <f aca="false">SUM(E256:E267)</f>
        <v>0</v>
      </c>
      <c r="F268" s="119" t="n">
        <f aca="false">SUM(F256:F267)</f>
        <v>0</v>
      </c>
      <c r="G268" s="194" t="n">
        <f aca="false">SUM(G256:G267)</f>
        <v>0</v>
      </c>
      <c r="H268" s="118" t="n">
        <f aca="false">SUM(H256:H267)</f>
        <v>0</v>
      </c>
      <c r="I268" s="119" t="n">
        <f aca="false">SUM(I256:I267)</f>
        <v>0</v>
      </c>
      <c r="J268" s="194" t="n">
        <f aca="false">SUM(J256:J267)</f>
        <v>0</v>
      </c>
      <c r="K268" s="268"/>
      <c r="L268" s="251"/>
      <c r="M268" s="221"/>
      <c r="N268" s="221"/>
      <c r="O268" s="221"/>
      <c r="P268" s="221"/>
      <c r="Q268" s="221"/>
      <c r="R268" s="221"/>
      <c r="S268" s="221"/>
      <c r="T268" s="221"/>
      <c r="U268" s="222" t="s">
        <v>153</v>
      </c>
      <c r="V268" s="223" t="s">
        <v>261</v>
      </c>
      <c r="W268" s="224" t="n">
        <v>409</v>
      </c>
      <c r="X268" s="212"/>
      <c r="Y268" s="225"/>
      <c r="Z268" s="225"/>
      <c r="AA268" s="226" t="n">
        <v>137</v>
      </c>
      <c r="AB268" s="227" t="s">
        <v>277</v>
      </c>
      <c r="AC268" s="241" t="n">
        <v>25</v>
      </c>
      <c r="AD268" s="243" t="s">
        <v>278</v>
      </c>
      <c r="AE268" s="234" t="n">
        <v>20</v>
      </c>
      <c r="AF268" s="232" t="s">
        <v>279</v>
      </c>
      <c r="AG268" s="229"/>
      <c r="AH268" s="238" t="n">
        <v>20</v>
      </c>
      <c r="AI268" s="240" t="n">
        <v>37</v>
      </c>
      <c r="AJ268" s="229"/>
      <c r="AK268" s="230" t="n">
        <v>20</v>
      </c>
      <c r="AL268" s="232" t="s">
        <v>280</v>
      </c>
      <c r="AM268" s="229"/>
      <c r="AN268" s="229"/>
      <c r="AO268" s="229"/>
      <c r="AP268" s="229"/>
      <c r="AQ268" s="229"/>
      <c r="AR268" s="229"/>
      <c r="AS268" s="229"/>
      <c r="AT268" s="229"/>
      <c r="AU268" s="229"/>
      <c r="AV268" s="229"/>
      <c r="AW268" s="5"/>
      <c r="AX268" s="5"/>
      <c r="AY268" s="5"/>
      <c r="AZ268" s="5"/>
      <c r="BA268" s="5"/>
      <c r="BB268" s="5"/>
      <c r="BC268" s="5"/>
      <c r="BD268" s="5"/>
      <c r="BE268" s="5"/>
      <c r="BF268" s="5"/>
      <c r="BG268" s="5"/>
    </row>
    <row r="269" customFormat="false" ht="15" hidden="false" customHeight="true" outlineLevel="0" collapsed="false">
      <c r="A269" s="269" t="s">
        <v>12</v>
      </c>
      <c r="B269" s="270" t="str">
        <f aca="false">IF(B268=I$181,"OK","Confira o Quandro 1.1")</f>
        <v>OK</v>
      </c>
      <c r="C269" s="270" t="str">
        <f aca="false">IF(C268=J$181,"OK","Confira o Quandro 1.1")</f>
        <v>OK</v>
      </c>
      <c r="D269" s="270" t="str">
        <f aca="false">IF(D268=K$181,"OK","Confira o Quandro 1.1")</f>
        <v>OK</v>
      </c>
      <c r="E269" s="162" t="str">
        <f aca="false">IF(E268=L$181,"OK","Confira o Quandp 1.1")</f>
        <v>OK</v>
      </c>
      <c r="F269" s="162" t="str">
        <f aca="false">IF(F268=M$181,"OK","Confira o Quandro 1.1")</f>
        <v>OK</v>
      </c>
      <c r="G269" s="162" t="str">
        <f aca="false">IF(G268=N$181,"OK","Confira o Quandro 1.1")</f>
        <v>OK</v>
      </c>
      <c r="H269" s="162" t="str">
        <f aca="false">IF(H268=O$181,"OK","Confira o Quandro 1.1")</f>
        <v>OK</v>
      </c>
      <c r="I269" s="162" t="str">
        <f aca="false">IF(I268=P$181,"OK","Confira o Quandro 1.1")</f>
        <v>OK</v>
      </c>
      <c r="J269" s="162" t="str">
        <f aca="false">IF(J268=Q$181,"OK","Confira o Quandro 1.1")</f>
        <v>OK</v>
      </c>
      <c r="K269" s="256"/>
      <c r="L269" s="251"/>
      <c r="M269" s="221"/>
      <c r="N269" s="221"/>
      <c r="O269" s="221"/>
      <c r="P269" s="221"/>
      <c r="Q269" s="221"/>
      <c r="R269" s="221"/>
      <c r="S269" s="221"/>
      <c r="T269" s="221"/>
      <c r="U269" s="222" t="s">
        <v>153</v>
      </c>
      <c r="V269" s="223" t="s">
        <v>281</v>
      </c>
      <c r="W269" s="224" t="n">
        <v>410</v>
      </c>
      <c r="X269" s="212"/>
      <c r="Y269" s="225"/>
      <c r="Z269" s="225"/>
      <c r="AA269" s="226" t="n">
        <v>138</v>
      </c>
      <c r="AB269" s="227" t="s">
        <v>282</v>
      </c>
      <c r="AC269" s="241" t="n">
        <v>26</v>
      </c>
      <c r="AD269" s="243" t="s">
        <v>283</v>
      </c>
      <c r="AE269" s="234" t="n">
        <v>21</v>
      </c>
      <c r="AF269" s="232" t="s">
        <v>284</v>
      </c>
      <c r="AG269" s="229"/>
      <c r="AH269" s="238" t="n">
        <v>21</v>
      </c>
      <c r="AI269" s="240" t="n">
        <v>38</v>
      </c>
      <c r="AJ269" s="229"/>
      <c r="AK269" s="230" t="n">
        <v>21</v>
      </c>
      <c r="AL269" s="232" t="s">
        <v>216</v>
      </c>
      <c r="AM269" s="229"/>
      <c r="AN269" s="229"/>
      <c r="AO269" s="229"/>
      <c r="AP269" s="229"/>
      <c r="AQ269" s="229"/>
      <c r="AR269" s="229"/>
      <c r="AS269" s="229"/>
      <c r="AT269" s="229"/>
      <c r="AU269" s="229"/>
      <c r="AV269" s="229"/>
      <c r="AW269" s="5"/>
      <c r="AX269" s="5"/>
      <c r="AY269" s="5"/>
      <c r="AZ269" s="5"/>
      <c r="BA269" s="5"/>
      <c r="BB269" s="5"/>
      <c r="BC269" s="5"/>
      <c r="BD269" s="5"/>
      <c r="BE269" s="5"/>
      <c r="BF269" s="5"/>
      <c r="BG269" s="5"/>
    </row>
    <row r="270" customFormat="false" ht="15" hidden="false" customHeight="true" outlineLevel="0" collapsed="false">
      <c r="A270" s="271" t="s">
        <v>285</v>
      </c>
      <c r="B270" s="270"/>
      <c r="C270" s="270"/>
      <c r="D270" s="270"/>
      <c r="E270" s="162"/>
      <c r="F270" s="162"/>
      <c r="G270" s="162"/>
      <c r="H270" s="162"/>
      <c r="I270" s="162"/>
      <c r="J270" s="162"/>
      <c r="K270" s="256"/>
      <c r="L270" s="251"/>
      <c r="M270" s="221"/>
      <c r="N270" s="221"/>
      <c r="O270" s="221"/>
      <c r="P270" s="221"/>
      <c r="Q270" s="221"/>
      <c r="R270" s="221"/>
      <c r="S270" s="221"/>
      <c r="T270" s="221"/>
      <c r="U270" s="222" t="s">
        <v>153</v>
      </c>
      <c r="V270" s="223" t="s">
        <v>264</v>
      </c>
      <c r="W270" s="224" t="n">
        <v>411</v>
      </c>
      <c r="X270" s="212"/>
      <c r="Y270" s="225"/>
      <c r="Z270" s="225"/>
      <c r="AA270" s="226" t="n">
        <v>139</v>
      </c>
      <c r="AB270" s="227" t="s">
        <v>286</v>
      </c>
      <c r="AC270" s="241" t="n">
        <v>27</v>
      </c>
      <c r="AD270" s="243" t="s">
        <v>287</v>
      </c>
      <c r="AE270" s="234" t="n">
        <v>22</v>
      </c>
      <c r="AF270" s="232" t="s">
        <v>288</v>
      </c>
      <c r="AG270" s="229"/>
      <c r="AH270" s="238" t="n">
        <v>22</v>
      </c>
      <c r="AI270" s="240" t="n">
        <v>39</v>
      </c>
      <c r="AJ270" s="229"/>
      <c r="AK270" s="230" t="n">
        <v>22</v>
      </c>
      <c r="AL270" s="232" t="s">
        <v>221</v>
      </c>
      <c r="AM270" s="229"/>
      <c r="AN270" s="229"/>
      <c r="AO270" s="229"/>
      <c r="AP270" s="229"/>
      <c r="AQ270" s="229"/>
      <c r="AR270" s="229"/>
      <c r="AS270" s="229"/>
      <c r="AT270" s="229"/>
      <c r="AU270" s="229"/>
      <c r="AV270" s="229"/>
      <c r="AW270" s="5"/>
      <c r="AX270" s="5"/>
      <c r="AY270" s="5"/>
      <c r="AZ270" s="5"/>
      <c r="BA270" s="5"/>
      <c r="BB270" s="5"/>
      <c r="BC270" s="5"/>
      <c r="BD270" s="5"/>
      <c r="BE270" s="5"/>
      <c r="BF270" s="5"/>
      <c r="BG270" s="5"/>
    </row>
    <row r="271" customFormat="false" ht="15" hidden="false" customHeight="true" outlineLevel="0" collapsed="false">
      <c r="A271" s="271"/>
      <c r="B271" s="270"/>
      <c r="C271" s="270"/>
      <c r="D271" s="270"/>
      <c r="E271" s="162"/>
      <c r="F271" s="162"/>
      <c r="G271" s="162"/>
      <c r="H271" s="162"/>
      <c r="I271" s="162"/>
      <c r="J271" s="162"/>
      <c r="K271" s="256"/>
      <c r="L271" s="251"/>
      <c r="M271" s="221"/>
      <c r="N271" s="221"/>
      <c r="O271" s="221"/>
      <c r="P271" s="221"/>
      <c r="Q271" s="221"/>
      <c r="R271" s="221"/>
      <c r="S271" s="221"/>
      <c r="T271" s="221"/>
      <c r="U271" s="222"/>
      <c r="V271" s="223"/>
      <c r="W271" s="224"/>
      <c r="X271" s="212"/>
      <c r="Y271" s="225"/>
      <c r="Z271" s="225"/>
      <c r="AA271" s="226"/>
      <c r="AB271" s="227"/>
      <c r="AC271" s="241"/>
      <c r="AD271" s="243"/>
      <c r="AE271" s="234"/>
      <c r="AF271" s="232"/>
      <c r="AG271" s="229"/>
      <c r="AH271" s="238"/>
      <c r="AI271" s="240"/>
      <c r="AJ271" s="229"/>
      <c r="AK271" s="230"/>
      <c r="AL271" s="232"/>
      <c r="AM271" s="229"/>
      <c r="AN271" s="229"/>
      <c r="AO271" s="229"/>
      <c r="AP271" s="229"/>
      <c r="AQ271" s="229"/>
      <c r="AR271" s="229"/>
      <c r="AS271" s="229"/>
      <c r="AT271" s="229"/>
      <c r="AU271" s="229"/>
      <c r="AV271" s="229"/>
      <c r="AW271" s="5"/>
      <c r="AX271" s="5"/>
      <c r="AY271" s="5"/>
      <c r="AZ271" s="5"/>
      <c r="BA271" s="5"/>
      <c r="BB271" s="5"/>
      <c r="BC271" s="5"/>
      <c r="BD271" s="5"/>
      <c r="BE271" s="5"/>
      <c r="BF271" s="5"/>
      <c r="BG271" s="5"/>
    </row>
    <row r="272" customFormat="false" ht="15" hidden="false" customHeight="true" outlineLevel="0" collapsed="false">
      <c r="A272" s="272" t="s">
        <v>289</v>
      </c>
      <c r="B272" s="272"/>
      <c r="C272" s="272"/>
      <c r="D272" s="272"/>
      <c r="E272" s="162"/>
      <c r="F272" s="162"/>
      <c r="G272" s="162"/>
      <c r="H272" s="162"/>
      <c r="I272" s="162"/>
      <c r="J272" s="162"/>
      <c r="K272" s="256"/>
      <c r="L272" s="251"/>
      <c r="M272" s="221"/>
      <c r="N272" s="221"/>
      <c r="O272" s="221"/>
      <c r="P272" s="221"/>
      <c r="Q272" s="221"/>
      <c r="R272" s="221"/>
      <c r="S272" s="221"/>
      <c r="T272" s="221"/>
      <c r="U272" s="222"/>
      <c r="V272" s="223"/>
      <c r="W272" s="224"/>
      <c r="X272" s="212"/>
      <c r="Y272" s="225"/>
      <c r="Z272" s="225"/>
      <c r="AA272" s="226"/>
      <c r="AB272" s="227"/>
      <c r="AC272" s="241"/>
      <c r="AD272" s="243"/>
      <c r="AE272" s="234"/>
      <c r="AF272" s="232"/>
      <c r="AG272" s="229"/>
      <c r="AH272" s="238"/>
      <c r="AI272" s="240"/>
      <c r="AJ272" s="229"/>
      <c r="AK272" s="230"/>
      <c r="AL272" s="232"/>
      <c r="AM272" s="229"/>
      <c r="AN272" s="229"/>
      <c r="AO272" s="229"/>
      <c r="AP272" s="229"/>
      <c r="AQ272" s="229"/>
      <c r="AR272" s="229"/>
      <c r="AS272" s="229"/>
      <c r="AT272" s="229"/>
      <c r="AU272" s="229"/>
      <c r="AV272" s="229"/>
      <c r="AW272" s="5"/>
      <c r="AX272" s="5"/>
      <c r="AY272" s="5"/>
      <c r="AZ272" s="5"/>
      <c r="BA272" s="5"/>
      <c r="BB272" s="5"/>
      <c r="BC272" s="5"/>
      <c r="BD272" s="5"/>
      <c r="BE272" s="5"/>
      <c r="BF272" s="5"/>
      <c r="BG272" s="5"/>
    </row>
    <row r="273" customFormat="false" ht="15" hidden="false" customHeight="true" outlineLevel="0" collapsed="false">
      <c r="A273" s="93"/>
      <c r="B273" s="93"/>
      <c r="C273" s="93"/>
      <c r="D273" s="93"/>
      <c r="E273" s="93"/>
      <c r="F273" s="93"/>
      <c r="G273" s="93"/>
      <c r="H273" s="93"/>
      <c r="I273" s="93"/>
      <c r="J273" s="93"/>
      <c r="K273" s="256"/>
      <c r="L273" s="251"/>
      <c r="M273" s="221"/>
      <c r="N273" s="221"/>
      <c r="O273" s="221"/>
      <c r="P273" s="221"/>
      <c r="Q273" s="221"/>
      <c r="R273" s="221"/>
      <c r="S273" s="221"/>
      <c r="T273" s="221"/>
      <c r="U273" s="222" t="s">
        <v>153</v>
      </c>
      <c r="V273" s="223" t="s">
        <v>290</v>
      </c>
      <c r="W273" s="224" t="n">
        <v>412</v>
      </c>
      <c r="X273" s="212"/>
      <c r="Y273" s="225"/>
      <c r="Z273" s="225"/>
      <c r="AA273" s="226" t="n">
        <v>140</v>
      </c>
      <c r="AB273" s="227" t="s">
        <v>291</v>
      </c>
      <c r="AC273" s="241" t="n">
        <v>28</v>
      </c>
      <c r="AD273" s="243" t="s">
        <v>292</v>
      </c>
      <c r="AE273" s="234" t="n">
        <v>23</v>
      </c>
      <c r="AF273" s="232" t="s">
        <v>293</v>
      </c>
      <c r="AG273" s="229"/>
      <c r="AH273" s="238" t="n">
        <v>23</v>
      </c>
      <c r="AI273" s="240" t="n">
        <v>40</v>
      </c>
      <c r="AJ273" s="229"/>
      <c r="AK273" s="230" t="n">
        <v>23</v>
      </c>
      <c r="AL273" s="232" t="s">
        <v>226</v>
      </c>
      <c r="AM273" s="229"/>
      <c r="AN273" s="229"/>
      <c r="AO273" s="229"/>
      <c r="AP273" s="229"/>
      <c r="AQ273" s="229"/>
      <c r="AR273" s="229"/>
      <c r="AS273" s="229"/>
      <c r="AT273" s="229"/>
      <c r="AU273" s="229"/>
      <c r="AV273" s="229"/>
      <c r="AW273" s="5"/>
      <c r="AX273" s="5"/>
      <c r="AY273" s="5"/>
      <c r="AZ273" s="5"/>
      <c r="BA273" s="5"/>
      <c r="BB273" s="5"/>
      <c r="BC273" s="5"/>
      <c r="BD273" s="5"/>
      <c r="BE273" s="5"/>
      <c r="BF273" s="5"/>
      <c r="BG273" s="5"/>
    </row>
    <row r="274" customFormat="false" ht="15" hidden="false" customHeight="true" outlineLevel="0" collapsed="false">
      <c r="A274" s="8" t="s">
        <v>294</v>
      </c>
      <c r="B274" s="8"/>
      <c r="C274" s="8"/>
      <c r="D274" s="8"/>
      <c r="E274" s="8"/>
      <c r="F274" s="165"/>
      <c r="G274" s="165"/>
      <c r="H274" s="165"/>
      <c r="I274" s="165"/>
      <c r="J274" s="165"/>
      <c r="K274" s="254"/>
      <c r="L274" s="255"/>
      <c r="M274" s="273"/>
      <c r="N274" s="273"/>
      <c r="O274" s="221"/>
      <c r="P274" s="221"/>
      <c r="Q274" s="221"/>
      <c r="R274" s="221"/>
      <c r="S274" s="221"/>
      <c r="T274" s="221"/>
      <c r="U274" s="222" t="s">
        <v>153</v>
      </c>
      <c r="V274" s="223" t="s">
        <v>295</v>
      </c>
      <c r="W274" s="224" t="n">
        <v>413</v>
      </c>
      <c r="X274" s="212"/>
      <c r="Y274" s="225"/>
      <c r="Z274" s="225"/>
      <c r="AA274" s="226" t="n">
        <v>141</v>
      </c>
      <c r="AB274" s="227" t="s">
        <v>296</v>
      </c>
      <c r="AC274" s="241" t="n">
        <v>29</v>
      </c>
      <c r="AD274" s="243" t="s">
        <v>297</v>
      </c>
      <c r="AE274" s="234" t="n">
        <v>24</v>
      </c>
      <c r="AF274" s="232" t="s">
        <v>164</v>
      </c>
      <c r="AG274" s="229"/>
      <c r="AH274" s="238" t="n">
        <v>24</v>
      </c>
      <c r="AI274" s="240" t="n">
        <v>41</v>
      </c>
      <c r="AJ274" s="229"/>
      <c r="AK274" s="230" t="n">
        <v>24</v>
      </c>
      <c r="AL274" s="232" t="s">
        <v>230</v>
      </c>
      <c r="AM274" s="229"/>
      <c r="AN274" s="229"/>
      <c r="AO274" s="229"/>
      <c r="AP274" s="229"/>
      <c r="AQ274" s="229"/>
      <c r="AR274" s="229"/>
      <c r="AS274" s="229"/>
      <c r="AT274" s="229"/>
      <c r="AU274" s="229"/>
      <c r="AV274" s="229"/>
      <c r="AW274" s="5"/>
      <c r="AX274" s="5"/>
      <c r="AY274" s="5"/>
      <c r="AZ274" s="5"/>
      <c r="BA274" s="5"/>
      <c r="BB274" s="5"/>
      <c r="BC274" s="5"/>
      <c r="BD274" s="5"/>
      <c r="BE274" s="5"/>
      <c r="BF274" s="5"/>
      <c r="BG274" s="5"/>
    </row>
    <row r="275" customFormat="false" ht="15" hidden="false" customHeight="true" outlineLevel="0" collapsed="false">
      <c r="A275" s="88" t="s">
        <v>222</v>
      </c>
      <c r="B275" s="88" t="s">
        <v>83</v>
      </c>
      <c r="C275" s="88"/>
      <c r="D275" s="88"/>
      <c r="E275" s="88" t="s">
        <v>84</v>
      </c>
      <c r="F275" s="88"/>
      <c r="G275" s="88"/>
      <c r="H275" s="88" t="s">
        <v>85</v>
      </c>
      <c r="I275" s="88"/>
      <c r="J275" s="88"/>
      <c r="K275" s="256"/>
      <c r="L275" s="251"/>
      <c r="M275" s="221"/>
      <c r="N275" s="221"/>
      <c r="O275" s="221"/>
      <c r="P275" s="221"/>
      <c r="Q275" s="221"/>
      <c r="R275" s="221"/>
      <c r="S275" s="221"/>
      <c r="T275" s="221"/>
      <c r="U275" s="222" t="s">
        <v>153</v>
      </c>
      <c r="V275" s="223" t="s">
        <v>298</v>
      </c>
      <c r="W275" s="224" t="n">
        <v>414</v>
      </c>
      <c r="X275" s="212"/>
      <c r="Y275" s="225"/>
      <c r="Z275" s="225"/>
      <c r="AA275" s="226" t="n">
        <v>142</v>
      </c>
      <c r="AB275" s="227" t="s">
        <v>299</v>
      </c>
      <c r="AC275" s="241" t="n">
        <v>30</v>
      </c>
      <c r="AD275" s="243" t="s">
        <v>300</v>
      </c>
      <c r="AE275" s="234" t="n">
        <v>25</v>
      </c>
      <c r="AF275" s="232" t="s">
        <v>170</v>
      </c>
      <c r="AG275" s="229"/>
      <c r="AH275" s="238" t="n">
        <v>25</v>
      </c>
      <c r="AI275" s="240" t="n">
        <v>42</v>
      </c>
      <c r="AJ275" s="229"/>
      <c r="AK275" s="230" t="n">
        <v>25</v>
      </c>
      <c r="AL275" s="232" t="s">
        <v>235</v>
      </c>
      <c r="AM275" s="229"/>
      <c r="AN275" s="229"/>
      <c r="AO275" s="229"/>
      <c r="AP275" s="229"/>
      <c r="AQ275" s="229"/>
      <c r="AR275" s="229"/>
      <c r="AS275" s="229"/>
      <c r="AT275" s="229"/>
      <c r="AU275" s="229"/>
      <c r="AV275" s="229"/>
      <c r="AW275" s="5"/>
      <c r="AX275" s="5"/>
      <c r="AY275" s="5"/>
      <c r="AZ275" s="5"/>
      <c r="BA275" s="5"/>
      <c r="BB275" s="5"/>
      <c r="BC275" s="5"/>
      <c r="BD275" s="5"/>
      <c r="BE275" s="5"/>
      <c r="BF275" s="5"/>
      <c r="BG275" s="5"/>
    </row>
    <row r="276" customFormat="false" ht="15" hidden="false" customHeight="true" outlineLevel="0" collapsed="false">
      <c r="A276" s="88"/>
      <c r="B276" s="88" t="s">
        <v>15</v>
      </c>
      <c r="C276" s="90" t="s">
        <v>16</v>
      </c>
      <c r="D276" s="95" t="s">
        <v>17</v>
      </c>
      <c r="E276" s="92" t="s">
        <v>15</v>
      </c>
      <c r="F276" s="90" t="s">
        <v>16</v>
      </c>
      <c r="G276" s="274" t="s">
        <v>17</v>
      </c>
      <c r="H276" s="88" t="s">
        <v>15</v>
      </c>
      <c r="I276" s="90" t="s">
        <v>16</v>
      </c>
      <c r="J276" s="95" t="s">
        <v>17</v>
      </c>
      <c r="K276" s="256"/>
      <c r="L276" s="251"/>
      <c r="M276" s="221"/>
      <c r="N276" s="221"/>
      <c r="O276" s="221"/>
      <c r="P276" s="221"/>
      <c r="Q276" s="221"/>
      <c r="R276" s="221"/>
      <c r="S276" s="221"/>
      <c r="T276" s="221"/>
      <c r="U276" s="222" t="s">
        <v>159</v>
      </c>
      <c r="V276" s="223" t="s">
        <v>301</v>
      </c>
      <c r="W276" s="224" t="n">
        <v>501</v>
      </c>
      <c r="X276" s="212"/>
      <c r="Y276" s="225"/>
      <c r="Z276" s="225"/>
      <c r="AA276" s="226" t="n">
        <v>143</v>
      </c>
      <c r="AB276" s="227" t="s">
        <v>302</v>
      </c>
      <c r="AC276" s="241" t="n">
        <v>31</v>
      </c>
      <c r="AD276" s="243" t="s">
        <v>303</v>
      </c>
      <c r="AE276" s="234" t="n">
        <v>26</v>
      </c>
      <c r="AF276" s="232" t="s">
        <v>304</v>
      </c>
      <c r="AG276" s="229"/>
      <c r="AH276" s="238" t="n">
        <v>26</v>
      </c>
      <c r="AI276" s="240" t="n">
        <v>43</v>
      </c>
      <c r="AJ276" s="229"/>
      <c r="AK276" s="230" t="n">
        <v>26</v>
      </c>
      <c r="AL276" s="232" t="s">
        <v>240</v>
      </c>
      <c r="AM276" s="229"/>
      <c r="AN276" s="229"/>
      <c r="AO276" s="229"/>
      <c r="AP276" s="229"/>
      <c r="AQ276" s="229"/>
      <c r="AR276" s="229"/>
      <c r="AS276" s="229"/>
      <c r="AT276" s="229"/>
      <c r="AU276" s="229"/>
      <c r="AV276" s="229"/>
      <c r="AW276" s="5"/>
      <c r="AX276" s="5"/>
      <c r="AY276" s="5"/>
      <c r="AZ276" s="5"/>
      <c r="BA276" s="5"/>
      <c r="BB276" s="5"/>
      <c r="BC276" s="5"/>
      <c r="BD276" s="5"/>
      <c r="BE276" s="5"/>
      <c r="BF276" s="5"/>
      <c r="BG276" s="5"/>
    </row>
    <row r="277" customFormat="false" ht="15" hidden="false" customHeight="true" outlineLevel="0" collapsed="false">
      <c r="A277" s="96"/>
      <c r="B277" s="97"/>
      <c r="C277" s="98"/>
      <c r="D277" s="275" t="n">
        <f aca="false">$B$277+$C$277</f>
        <v>0</v>
      </c>
      <c r="E277" s="100"/>
      <c r="F277" s="98"/>
      <c r="G277" s="275" t="n">
        <f aca="false">$E$277+$F$277</f>
        <v>0</v>
      </c>
      <c r="H277" s="97"/>
      <c r="I277" s="98"/>
      <c r="J277" s="275" t="n">
        <f aca="false">$H$277+$I$277</f>
        <v>0</v>
      </c>
      <c r="K277" s="256"/>
      <c r="L277" s="251"/>
      <c r="M277" s="221"/>
      <c r="N277" s="221"/>
      <c r="O277" s="221"/>
      <c r="P277" s="221"/>
      <c r="Q277" s="221"/>
      <c r="R277" s="221"/>
      <c r="S277" s="221"/>
      <c r="T277" s="221"/>
      <c r="U277" s="222" t="s">
        <v>159</v>
      </c>
      <c r="V277" s="223" t="s">
        <v>268</v>
      </c>
      <c r="W277" s="224" t="n">
        <v>502</v>
      </c>
      <c r="X277" s="212"/>
      <c r="Y277" s="225"/>
      <c r="Z277" s="225"/>
      <c r="AA277" s="226" t="n">
        <v>144</v>
      </c>
      <c r="AB277" s="227" t="s">
        <v>305</v>
      </c>
      <c r="AC277" s="241" t="n">
        <v>32</v>
      </c>
      <c r="AD277" s="243" t="s">
        <v>306</v>
      </c>
      <c r="AE277" s="234" t="n">
        <v>27</v>
      </c>
      <c r="AF277" s="232" t="s">
        <v>307</v>
      </c>
      <c r="AG277" s="229"/>
      <c r="AH277" s="238" t="n">
        <v>27</v>
      </c>
      <c r="AI277" s="240" t="n">
        <v>44</v>
      </c>
      <c r="AJ277" s="229"/>
      <c r="AK277" s="238"/>
      <c r="AL277" s="229"/>
      <c r="AM277" s="229"/>
      <c r="AN277" s="229"/>
      <c r="AO277" s="229"/>
      <c r="AP277" s="229"/>
      <c r="AQ277" s="229"/>
      <c r="AR277" s="229"/>
      <c r="AS277" s="229"/>
      <c r="AT277" s="229"/>
      <c r="AU277" s="229"/>
      <c r="AV277" s="229"/>
      <c r="AW277" s="5"/>
      <c r="AX277" s="5"/>
      <c r="AY277" s="5"/>
      <c r="AZ277" s="5"/>
      <c r="BA277" s="5"/>
      <c r="BB277" s="5"/>
      <c r="BC277" s="5"/>
      <c r="BD277" s="5"/>
      <c r="BE277" s="5"/>
      <c r="BF277" s="5"/>
      <c r="BG277" s="5"/>
    </row>
    <row r="278" customFormat="false" ht="15" hidden="false" customHeight="true" outlineLevel="0" collapsed="false">
      <c r="A278" s="101"/>
      <c r="B278" s="177"/>
      <c r="C278" s="178"/>
      <c r="D278" s="276" t="n">
        <f aca="false">$B$278+$C$278</f>
        <v>0</v>
      </c>
      <c r="E278" s="180"/>
      <c r="F278" s="178"/>
      <c r="G278" s="276" t="n">
        <f aca="false">$E$278+$F$278</f>
        <v>0</v>
      </c>
      <c r="H278" s="177"/>
      <c r="I278" s="178"/>
      <c r="J278" s="276" t="n">
        <f aca="false">$H$278+$I$278</f>
        <v>0</v>
      </c>
      <c r="K278" s="256"/>
      <c r="L278" s="251"/>
      <c r="M278" s="221"/>
      <c r="N278" s="221"/>
      <c r="O278" s="221"/>
      <c r="P278" s="221"/>
      <c r="Q278" s="221"/>
      <c r="R278" s="221"/>
      <c r="S278" s="221"/>
      <c r="T278" s="221"/>
      <c r="U278" s="222" t="s">
        <v>159</v>
      </c>
      <c r="V278" s="223" t="s">
        <v>308</v>
      </c>
      <c r="W278" s="224" t="n">
        <v>503</v>
      </c>
      <c r="X278" s="212"/>
      <c r="Y278" s="225"/>
      <c r="Z278" s="225"/>
      <c r="AA278" s="226" t="n">
        <v>145</v>
      </c>
      <c r="AB278" s="227" t="s">
        <v>309</v>
      </c>
      <c r="AC278" s="241" t="n">
        <v>33</v>
      </c>
      <c r="AD278" s="243" t="s">
        <v>310</v>
      </c>
      <c r="AE278" s="234" t="n">
        <v>28</v>
      </c>
      <c r="AF278" s="232" t="s">
        <v>311</v>
      </c>
      <c r="AG278" s="229"/>
      <c r="AH278" s="238" t="n">
        <v>28</v>
      </c>
      <c r="AI278" s="240" t="n">
        <v>45</v>
      </c>
      <c r="AJ278" s="229"/>
      <c r="AK278" s="238"/>
      <c r="AL278" s="229"/>
      <c r="AM278" s="229"/>
      <c r="AN278" s="229"/>
      <c r="AO278" s="229"/>
      <c r="AP278" s="229"/>
      <c r="AQ278" s="229"/>
      <c r="AR278" s="229"/>
      <c r="AS278" s="229"/>
      <c r="AT278" s="229"/>
      <c r="AU278" s="229"/>
      <c r="AV278" s="229"/>
      <c r="AW278" s="5"/>
      <c r="AX278" s="5"/>
      <c r="AY278" s="5"/>
      <c r="AZ278" s="5"/>
      <c r="BA278" s="5"/>
      <c r="BB278" s="5"/>
      <c r="BC278" s="5"/>
      <c r="BD278" s="5"/>
      <c r="BE278" s="5"/>
      <c r="BF278" s="5"/>
      <c r="BG278" s="5"/>
    </row>
    <row r="279" customFormat="false" ht="15" hidden="false" customHeight="true" outlineLevel="0" collapsed="false">
      <c r="A279" s="101"/>
      <c r="B279" s="177"/>
      <c r="C279" s="178"/>
      <c r="D279" s="276" t="n">
        <f aca="false">$B$279+$C$279</f>
        <v>0</v>
      </c>
      <c r="E279" s="180"/>
      <c r="F279" s="178"/>
      <c r="G279" s="276" t="n">
        <f aca="false">$E$279+$F$279</f>
        <v>0</v>
      </c>
      <c r="H279" s="177"/>
      <c r="I279" s="178"/>
      <c r="J279" s="276" t="n">
        <f aca="false">$H$279+$I$279</f>
        <v>0</v>
      </c>
      <c r="K279" s="256"/>
      <c r="L279" s="251"/>
      <c r="M279" s="221"/>
      <c r="N279" s="221"/>
      <c r="O279" s="221"/>
      <c r="P279" s="221"/>
      <c r="Q279" s="221"/>
      <c r="R279" s="221"/>
      <c r="S279" s="221"/>
      <c r="T279" s="221"/>
      <c r="U279" s="222" t="s">
        <v>159</v>
      </c>
      <c r="V279" s="223" t="s">
        <v>272</v>
      </c>
      <c r="W279" s="224" t="n">
        <v>504</v>
      </c>
      <c r="X279" s="212"/>
      <c r="Y279" s="225"/>
      <c r="Z279" s="225"/>
      <c r="AA279" s="226" t="n">
        <v>146</v>
      </c>
      <c r="AB279" s="227" t="s">
        <v>312</v>
      </c>
      <c r="AC279" s="241" t="n">
        <v>34</v>
      </c>
      <c r="AD279" s="243" t="s">
        <v>313</v>
      </c>
      <c r="AE279" s="234" t="n">
        <v>29</v>
      </c>
      <c r="AF279" s="232" t="s">
        <v>314</v>
      </c>
      <c r="AG279" s="229"/>
      <c r="AH279" s="238" t="n">
        <v>29</v>
      </c>
      <c r="AI279" s="240" t="n">
        <v>46</v>
      </c>
      <c r="AJ279" s="229"/>
      <c r="AK279" s="238" t="s">
        <v>113</v>
      </c>
      <c r="AL279" s="229" t="s">
        <v>315</v>
      </c>
      <c r="AM279" s="229"/>
      <c r="AN279" s="229"/>
      <c r="AO279" s="229"/>
      <c r="AP279" s="229"/>
      <c r="AQ279" s="229"/>
      <c r="AR279" s="229"/>
      <c r="AS279" s="229"/>
      <c r="AT279" s="229"/>
      <c r="AU279" s="229"/>
      <c r="AV279" s="229"/>
      <c r="AW279" s="5"/>
      <c r="AX279" s="5"/>
      <c r="AY279" s="5"/>
      <c r="AZ279" s="5"/>
      <c r="BA279" s="5"/>
      <c r="BB279" s="5"/>
      <c r="BC279" s="5"/>
      <c r="BD279" s="5"/>
      <c r="BE279" s="5"/>
      <c r="BF279" s="5"/>
      <c r="BG279" s="5"/>
    </row>
    <row r="280" customFormat="false" ht="15" hidden="false" customHeight="true" outlineLevel="0" collapsed="false">
      <c r="A280" s="101"/>
      <c r="B280" s="177"/>
      <c r="C280" s="178"/>
      <c r="D280" s="276" t="n">
        <f aca="false">$B$280+$C$280</f>
        <v>0</v>
      </c>
      <c r="E280" s="180"/>
      <c r="F280" s="178"/>
      <c r="G280" s="276" t="n">
        <f aca="false">$E$280+$F$280</f>
        <v>0</v>
      </c>
      <c r="H280" s="177"/>
      <c r="I280" s="178"/>
      <c r="J280" s="276" t="n">
        <f aca="false">$H$280+$I$280</f>
        <v>0</v>
      </c>
      <c r="K280" s="256"/>
      <c r="L280" s="251"/>
      <c r="M280" s="221"/>
      <c r="N280" s="221"/>
      <c r="O280" s="221"/>
      <c r="P280" s="221"/>
      <c r="Q280" s="221"/>
      <c r="R280" s="221"/>
      <c r="S280" s="221"/>
      <c r="T280" s="221"/>
      <c r="U280" s="222" t="s">
        <v>159</v>
      </c>
      <c r="V280" s="223" t="s">
        <v>316</v>
      </c>
      <c r="W280" s="224" t="n">
        <v>505</v>
      </c>
      <c r="X280" s="212"/>
      <c r="Y280" s="225"/>
      <c r="Z280" s="225"/>
      <c r="AA280" s="226" t="n">
        <v>147</v>
      </c>
      <c r="AB280" s="227" t="s">
        <v>317</v>
      </c>
      <c r="AC280" s="241" t="n">
        <v>35</v>
      </c>
      <c r="AD280" s="243" t="s">
        <v>318</v>
      </c>
      <c r="AE280" s="234" t="n">
        <v>30</v>
      </c>
      <c r="AF280" s="232" t="s">
        <v>319</v>
      </c>
      <c r="AG280" s="229"/>
      <c r="AH280" s="238" t="n">
        <v>30</v>
      </c>
      <c r="AI280" s="240" t="n">
        <v>47</v>
      </c>
      <c r="AJ280" s="229"/>
      <c r="AK280" s="238" t="n">
        <v>1</v>
      </c>
      <c r="AL280" s="229" t="s">
        <v>320</v>
      </c>
      <c r="AM280" s="229"/>
      <c r="AN280" s="229"/>
      <c r="AO280" s="229"/>
      <c r="AP280" s="229"/>
      <c r="AQ280" s="229"/>
      <c r="AR280" s="229"/>
      <c r="AS280" s="229"/>
      <c r="AT280" s="229"/>
      <c r="AU280" s="229"/>
      <c r="AV280" s="229"/>
      <c r="AW280" s="5"/>
      <c r="AX280" s="5"/>
      <c r="AY280" s="5"/>
      <c r="AZ280" s="5"/>
      <c r="BA280" s="5"/>
      <c r="BB280" s="5"/>
      <c r="BC280" s="5"/>
      <c r="BD280" s="5"/>
      <c r="BE280" s="5"/>
      <c r="BF280" s="5"/>
      <c r="BG280" s="5"/>
    </row>
    <row r="281" customFormat="false" ht="15" hidden="false" customHeight="true" outlineLevel="0" collapsed="false">
      <c r="A281" s="101"/>
      <c r="B281" s="177"/>
      <c r="C281" s="178"/>
      <c r="D281" s="276" t="n">
        <f aca="false">$B$281+$C$281</f>
        <v>0</v>
      </c>
      <c r="E281" s="180"/>
      <c r="F281" s="178"/>
      <c r="G281" s="276" t="n">
        <f aca="false">$E$281+$F$281</f>
        <v>0</v>
      </c>
      <c r="H281" s="177"/>
      <c r="I281" s="178"/>
      <c r="J281" s="276" t="n">
        <f aca="false">$H$281+$I$281</f>
        <v>0</v>
      </c>
      <c r="K281" s="256"/>
      <c r="L281" s="251"/>
      <c r="M281" s="221"/>
      <c r="N281" s="221"/>
      <c r="O281" s="221"/>
      <c r="P281" s="221"/>
      <c r="Q281" s="221"/>
      <c r="R281" s="221"/>
      <c r="S281" s="221"/>
      <c r="T281" s="221"/>
      <c r="U281" s="222" t="s">
        <v>159</v>
      </c>
      <c r="V281" s="223" t="s">
        <v>321</v>
      </c>
      <c r="W281" s="224" t="n">
        <v>506</v>
      </c>
      <c r="X281" s="212"/>
      <c r="Y281" s="225"/>
      <c r="Z281" s="225"/>
      <c r="AA281" s="226" t="n">
        <v>148</v>
      </c>
      <c r="AB281" s="227" t="s">
        <v>322</v>
      </c>
      <c r="AC281" s="241" t="n">
        <v>36</v>
      </c>
      <c r="AD281" s="243" t="s">
        <v>323</v>
      </c>
      <c r="AE281" s="234" t="n">
        <v>31</v>
      </c>
      <c r="AF281" s="232" t="s">
        <v>324</v>
      </c>
      <c r="AG281" s="229"/>
      <c r="AH281" s="238" t="n">
        <v>31</v>
      </c>
      <c r="AI281" s="240" t="n">
        <v>48</v>
      </c>
      <c r="AJ281" s="229"/>
      <c r="AK281" s="238" t="n">
        <v>2</v>
      </c>
      <c r="AL281" s="229" t="s">
        <v>325</v>
      </c>
      <c r="AM281" s="229"/>
      <c r="AN281" s="229"/>
      <c r="AO281" s="229"/>
      <c r="AP281" s="229"/>
      <c r="AQ281" s="229"/>
      <c r="AR281" s="229"/>
      <c r="AS281" s="229"/>
      <c r="AT281" s="229"/>
      <c r="AU281" s="229"/>
      <c r="AV281" s="229"/>
      <c r="AW281" s="5"/>
      <c r="AX281" s="5"/>
      <c r="AY281" s="5"/>
      <c r="AZ281" s="5"/>
      <c r="BA281" s="5"/>
      <c r="BB281" s="5"/>
      <c r="BC281" s="5"/>
      <c r="BD281" s="5"/>
      <c r="BE281" s="5"/>
      <c r="BF281" s="5"/>
      <c r="BG281" s="5"/>
    </row>
    <row r="282" customFormat="false" ht="15" hidden="false" customHeight="true" outlineLevel="0" collapsed="false">
      <c r="A282" s="101"/>
      <c r="B282" s="177"/>
      <c r="C282" s="178"/>
      <c r="D282" s="276" t="n">
        <f aca="false">$B$282+$C$282</f>
        <v>0</v>
      </c>
      <c r="E282" s="180"/>
      <c r="F282" s="178"/>
      <c r="G282" s="276" t="n">
        <f aca="false">$E$282+$F$282</f>
        <v>0</v>
      </c>
      <c r="H282" s="177"/>
      <c r="I282" s="178"/>
      <c r="J282" s="276" t="n">
        <f aca="false">$H$282+$I$282</f>
        <v>0</v>
      </c>
      <c r="K282" s="256"/>
      <c r="L282" s="251"/>
      <c r="M282" s="221"/>
      <c r="N282" s="221"/>
      <c r="O282" s="221"/>
      <c r="P282" s="221"/>
      <c r="Q282" s="221"/>
      <c r="R282" s="221"/>
      <c r="S282" s="221"/>
      <c r="T282" s="221"/>
      <c r="U282" s="222" t="s">
        <v>159</v>
      </c>
      <c r="V282" s="223" t="s">
        <v>276</v>
      </c>
      <c r="W282" s="224" t="n">
        <v>507</v>
      </c>
      <c r="X282" s="212"/>
      <c r="Y282" s="225"/>
      <c r="Z282" s="225"/>
      <c r="AA282" s="226" t="n">
        <v>149</v>
      </c>
      <c r="AB282" s="227" t="s">
        <v>326</v>
      </c>
      <c r="AC282" s="241" t="n">
        <v>37</v>
      </c>
      <c r="AD282" s="243" t="s">
        <v>327</v>
      </c>
      <c r="AE282" s="234" t="n">
        <v>32</v>
      </c>
      <c r="AF282" s="232" t="s">
        <v>179</v>
      </c>
      <c r="AG282" s="229"/>
      <c r="AH282" s="238" t="n">
        <v>32</v>
      </c>
      <c r="AI282" s="240" t="n">
        <v>49</v>
      </c>
      <c r="AJ282" s="229"/>
      <c r="AK282" s="238" t="n">
        <v>3</v>
      </c>
      <c r="AL282" s="229" t="s">
        <v>328</v>
      </c>
      <c r="AM282" s="229"/>
      <c r="AN282" s="229"/>
      <c r="AO282" s="229"/>
      <c r="AP282" s="229"/>
      <c r="AQ282" s="229"/>
      <c r="AR282" s="229"/>
      <c r="AS282" s="229"/>
      <c r="AT282" s="229"/>
      <c r="AU282" s="229"/>
      <c r="AV282" s="229"/>
      <c r="AW282" s="5"/>
      <c r="AX282" s="5"/>
      <c r="AY282" s="5"/>
      <c r="AZ282" s="5"/>
      <c r="BA282" s="5"/>
      <c r="BB282" s="5"/>
      <c r="BC282" s="5"/>
      <c r="BD282" s="5"/>
      <c r="BE282" s="5"/>
      <c r="BF282" s="5"/>
      <c r="BG282" s="5"/>
    </row>
    <row r="283" customFormat="false" ht="15" hidden="false" customHeight="true" outlineLevel="0" collapsed="false">
      <c r="A283" s="101"/>
      <c r="B283" s="177"/>
      <c r="C283" s="178"/>
      <c r="D283" s="276" t="n">
        <f aca="false">$B$283+$C$283</f>
        <v>0</v>
      </c>
      <c r="E283" s="180"/>
      <c r="F283" s="178"/>
      <c r="G283" s="276" t="n">
        <f aca="false">$E$283+$F$283</f>
        <v>0</v>
      </c>
      <c r="H283" s="177"/>
      <c r="I283" s="178"/>
      <c r="J283" s="276" t="n">
        <f aca="false">$H$283+$I$283</f>
        <v>0</v>
      </c>
      <c r="K283" s="256"/>
      <c r="L283" s="251"/>
      <c r="M283" s="221"/>
      <c r="N283" s="221"/>
      <c r="O283" s="221"/>
      <c r="P283" s="221"/>
      <c r="Q283" s="221"/>
      <c r="R283" s="221"/>
      <c r="S283" s="221"/>
      <c r="T283" s="221"/>
      <c r="U283" s="222" t="s">
        <v>159</v>
      </c>
      <c r="V283" s="223" t="s">
        <v>279</v>
      </c>
      <c r="W283" s="224" t="n">
        <v>508</v>
      </c>
      <c r="X283" s="212"/>
      <c r="Y283" s="225"/>
      <c r="Z283" s="225"/>
      <c r="AA283" s="226" t="n">
        <v>150</v>
      </c>
      <c r="AB283" s="227" t="s">
        <v>329</v>
      </c>
      <c r="AC283" s="241" t="n">
        <v>38</v>
      </c>
      <c r="AD283" s="243" t="s">
        <v>330</v>
      </c>
      <c r="AE283" s="234" t="n">
        <v>33</v>
      </c>
      <c r="AF283" s="232" t="s">
        <v>331</v>
      </c>
      <c r="AG283" s="229"/>
      <c r="AH283" s="238" t="n">
        <v>33</v>
      </c>
      <c r="AI283" s="240" t="n">
        <v>50</v>
      </c>
      <c r="AJ283" s="229"/>
      <c r="AK283" s="238"/>
      <c r="AL283" s="229"/>
      <c r="AM283" s="229"/>
      <c r="AN283" s="229"/>
      <c r="AO283" s="229"/>
      <c r="AP283" s="229"/>
      <c r="AQ283" s="229"/>
      <c r="AR283" s="229"/>
      <c r="AS283" s="229"/>
      <c r="AT283" s="229"/>
      <c r="AU283" s="229"/>
      <c r="AV283" s="229"/>
      <c r="AW283" s="5"/>
      <c r="AX283" s="5"/>
      <c r="AY283" s="5"/>
      <c r="AZ283" s="5"/>
      <c r="BA283" s="5"/>
      <c r="BB283" s="5"/>
      <c r="BC283" s="5"/>
      <c r="BD283" s="5"/>
      <c r="BE283" s="5"/>
      <c r="BF283" s="5"/>
      <c r="BG283" s="5"/>
    </row>
    <row r="284" customFormat="false" ht="15" hidden="false" customHeight="true" outlineLevel="0" collapsed="false">
      <c r="A284" s="101"/>
      <c r="B284" s="177"/>
      <c r="C284" s="178"/>
      <c r="D284" s="276" t="n">
        <f aca="false">$B$284+$C$284</f>
        <v>0</v>
      </c>
      <c r="E284" s="180"/>
      <c r="F284" s="178"/>
      <c r="G284" s="276" t="n">
        <f aca="false">$E$284+$F$284</f>
        <v>0</v>
      </c>
      <c r="H284" s="177"/>
      <c r="I284" s="178"/>
      <c r="J284" s="276" t="n">
        <f aca="false">$H$284+$I$284</f>
        <v>0</v>
      </c>
      <c r="K284" s="256"/>
      <c r="L284" s="251"/>
      <c r="M284" s="221"/>
      <c r="N284" s="221"/>
      <c r="O284" s="221"/>
      <c r="P284" s="221"/>
      <c r="Q284" s="221"/>
      <c r="R284" s="221"/>
      <c r="S284" s="221"/>
      <c r="T284" s="221"/>
      <c r="U284" s="222" t="s">
        <v>159</v>
      </c>
      <c r="V284" s="223" t="s">
        <v>284</v>
      </c>
      <c r="W284" s="224" t="n">
        <v>509</v>
      </c>
      <c r="X284" s="212"/>
      <c r="Y284" s="225"/>
      <c r="Z284" s="225"/>
      <c r="AA284" s="226" t="n">
        <v>151</v>
      </c>
      <c r="AB284" s="227" t="s">
        <v>332</v>
      </c>
      <c r="AC284" s="241" t="n">
        <v>39</v>
      </c>
      <c r="AD284" s="243" t="s">
        <v>333</v>
      </c>
      <c r="AE284" s="234" t="n">
        <v>34</v>
      </c>
      <c r="AF284" s="232" t="s">
        <v>334</v>
      </c>
      <c r="AG284" s="229"/>
      <c r="AH284" s="238" t="n">
        <v>34</v>
      </c>
      <c r="AI284" s="240" t="n">
        <v>51</v>
      </c>
      <c r="AJ284" s="229" t="s">
        <v>113</v>
      </c>
      <c r="AK284" s="238" t="s">
        <v>335</v>
      </c>
      <c r="AL284" s="229"/>
      <c r="AM284" s="229"/>
      <c r="AN284" s="229"/>
      <c r="AO284" s="229"/>
      <c r="AP284" s="229"/>
      <c r="AQ284" s="229"/>
      <c r="AR284" s="229"/>
      <c r="AS284" s="229"/>
      <c r="AT284" s="229"/>
      <c r="AU284" s="229"/>
      <c r="AV284" s="229"/>
      <c r="AW284" s="5"/>
      <c r="AX284" s="5"/>
      <c r="AY284" s="5"/>
      <c r="AZ284" s="5"/>
      <c r="BA284" s="5"/>
      <c r="BB284" s="5"/>
      <c r="BC284" s="5"/>
      <c r="BD284" s="5"/>
      <c r="BE284" s="5"/>
      <c r="BF284" s="5"/>
      <c r="BG284" s="5"/>
    </row>
    <row r="285" customFormat="false" ht="15" hidden="false" customHeight="true" outlineLevel="0" collapsed="false">
      <c r="A285" s="101"/>
      <c r="B285" s="177"/>
      <c r="C285" s="178"/>
      <c r="D285" s="276" t="n">
        <f aca="false">$B$285+$C$285</f>
        <v>0</v>
      </c>
      <c r="E285" s="180"/>
      <c r="F285" s="178"/>
      <c r="G285" s="276" t="n">
        <f aca="false">$E$285+$F$285</f>
        <v>0</v>
      </c>
      <c r="H285" s="177"/>
      <c r="I285" s="178"/>
      <c r="J285" s="276" t="n">
        <f aca="false">$H$285+$I$285</f>
        <v>0</v>
      </c>
      <c r="K285" s="256"/>
      <c r="L285" s="251"/>
      <c r="M285" s="221"/>
      <c r="N285" s="221"/>
      <c r="O285" s="221"/>
      <c r="P285" s="221"/>
      <c r="Q285" s="221"/>
      <c r="R285" s="221"/>
      <c r="S285" s="221"/>
      <c r="T285" s="221"/>
      <c r="U285" s="222" t="s">
        <v>159</v>
      </c>
      <c r="V285" s="223" t="s">
        <v>336</v>
      </c>
      <c r="W285" s="224" t="n">
        <v>510</v>
      </c>
      <c r="X285" s="212"/>
      <c r="Y285" s="225"/>
      <c r="Z285" s="225"/>
      <c r="AA285" s="226" t="n">
        <v>152</v>
      </c>
      <c r="AB285" s="227" t="s">
        <v>337</v>
      </c>
      <c r="AC285" s="241" t="n">
        <v>40</v>
      </c>
      <c r="AD285" s="243" t="s">
        <v>338</v>
      </c>
      <c r="AE285" s="234" t="n">
        <v>35</v>
      </c>
      <c r="AF285" s="232" t="s">
        <v>339</v>
      </c>
      <c r="AG285" s="229"/>
      <c r="AH285" s="238" t="n">
        <v>35</v>
      </c>
      <c r="AI285" s="240" t="n">
        <v>52</v>
      </c>
      <c r="AJ285" s="277" t="n">
        <v>1</v>
      </c>
      <c r="AK285" s="278" t="s">
        <v>340</v>
      </c>
      <c r="AM285" s="229"/>
      <c r="AN285" s="229"/>
      <c r="AO285" s="229"/>
      <c r="AP285" s="229"/>
      <c r="AQ285" s="229"/>
      <c r="AR285" s="229"/>
      <c r="AS285" s="229"/>
      <c r="AT285" s="229"/>
      <c r="AU285" s="229"/>
      <c r="AV285" s="229"/>
      <c r="AW285" s="5"/>
      <c r="AX285" s="5"/>
      <c r="AY285" s="5"/>
      <c r="AZ285" s="5"/>
      <c r="BA285" s="5"/>
      <c r="BB285" s="5"/>
      <c r="BC285" s="5"/>
      <c r="BD285" s="5"/>
      <c r="BE285" s="5"/>
      <c r="BF285" s="5"/>
      <c r="BG285" s="5"/>
    </row>
    <row r="286" customFormat="false" ht="15" hidden="false" customHeight="true" outlineLevel="0" collapsed="false">
      <c r="A286" s="101"/>
      <c r="B286" s="177"/>
      <c r="C286" s="178"/>
      <c r="D286" s="276" t="n">
        <f aca="false">$B$286+$C$286</f>
        <v>0</v>
      </c>
      <c r="E286" s="180"/>
      <c r="F286" s="178"/>
      <c r="G286" s="276" t="n">
        <f aca="false">$E$286+$F$286</f>
        <v>0</v>
      </c>
      <c r="H286" s="177"/>
      <c r="I286" s="178"/>
      <c r="J286" s="276" t="n">
        <f aca="false">$H$286+$I$286</f>
        <v>0</v>
      </c>
      <c r="K286" s="256"/>
      <c r="L286" s="251"/>
      <c r="M286" s="221"/>
      <c r="N286" s="221"/>
      <c r="O286" s="221"/>
      <c r="P286" s="221"/>
      <c r="Q286" s="221"/>
      <c r="R286" s="221"/>
      <c r="S286" s="221"/>
      <c r="T286" s="221"/>
      <c r="U286" s="222" t="s">
        <v>159</v>
      </c>
      <c r="V286" s="223" t="s">
        <v>341</v>
      </c>
      <c r="W286" s="224" t="n">
        <v>511</v>
      </c>
      <c r="X286" s="212"/>
      <c r="Y286" s="225"/>
      <c r="Z286" s="225"/>
      <c r="AA286" s="226" t="n">
        <v>153</v>
      </c>
      <c r="AB286" s="227" t="s">
        <v>342</v>
      </c>
      <c r="AC286" s="241" t="n">
        <v>41</v>
      </c>
      <c r="AD286" s="243" t="s">
        <v>343</v>
      </c>
      <c r="AE286" s="234" t="n">
        <v>36</v>
      </c>
      <c r="AF286" s="232" t="s">
        <v>344</v>
      </c>
      <c r="AG286" s="229"/>
      <c r="AH286" s="238" t="n">
        <v>36</v>
      </c>
      <c r="AI286" s="240" t="n">
        <v>53</v>
      </c>
      <c r="AJ286" s="277" t="n">
        <v>2</v>
      </c>
      <c r="AK286" s="278" t="s">
        <v>114</v>
      </c>
      <c r="AM286" s="229"/>
      <c r="AN286" s="229"/>
      <c r="AO286" s="229"/>
      <c r="AP286" s="229"/>
      <c r="AQ286" s="229"/>
      <c r="AR286" s="229"/>
      <c r="AS286" s="229"/>
      <c r="AT286" s="229"/>
      <c r="AU286" s="229"/>
      <c r="AV286" s="229"/>
      <c r="AW286" s="5"/>
      <c r="AX286" s="5"/>
      <c r="AY286" s="5"/>
      <c r="AZ286" s="5"/>
      <c r="BA286" s="5"/>
      <c r="BB286" s="5"/>
      <c r="BC286" s="5"/>
      <c r="BD286" s="5"/>
      <c r="BE286" s="5"/>
      <c r="BF286" s="5"/>
      <c r="BG286" s="5"/>
    </row>
    <row r="287" customFormat="false" ht="15" hidden="false" customHeight="true" outlineLevel="0" collapsed="false">
      <c r="A287" s="101"/>
      <c r="B287" s="279"/>
      <c r="C287" s="280"/>
      <c r="D287" s="281" t="n">
        <f aca="false">$B$287+$C$287</f>
        <v>0</v>
      </c>
      <c r="E287" s="282"/>
      <c r="F287" s="280"/>
      <c r="G287" s="281" t="n">
        <f aca="false">$E$287+$F$287</f>
        <v>0</v>
      </c>
      <c r="H287" s="279"/>
      <c r="I287" s="280"/>
      <c r="J287" s="281" t="n">
        <f aca="false">$H$287+$I$287</f>
        <v>0</v>
      </c>
      <c r="K287" s="256"/>
      <c r="L287" s="251"/>
      <c r="M287" s="221"/>
      <c r="N287" s="221"/>
      <c r="O287" s="221"/>
      <c r="P287" s="221"/>
      <c r="Q287" s="221"/>
      <c r="R287" s="221"/>
      <c r="S287" s="221"/>
      <c r="T287" s="221"/>
      <c r="U287" s="222" t="s">
        <v>159</v>
      </c>
      <c r="V287" s="223" t="s">
        <v>345</v>
      </c>
      <c r="W287" s="224" t="n">
        <v>512</v>
      </c>
      <c r="X287" s="212"/>
      <c r="Y287" s="225" t="n">
        <v>2</v>
      </c>
      <c r="Z287" s="225" t="s">
        <v>346</v>
      </c>
      <c r="AA287" s="226" t="n">
        <v>201</v>
      </c>
      <c r="AB287" s="227" t="s">
        <v>347</v>
      </c>
      <c r="AC287" s="241" t="n">
        <v>42</v>
      </c>
      <c r="AD287" s="243" t="s">
        <v>348</v>
      </c>
      <c r="AE287" s="234" t="n">
        <v>37</v>
      </c>
      <c r="AF287" s="232" t="s">
        <v>349</v>
      </c>
      <c r="AG287" s="229"/>
      <c r="AH287" s="238" t="n">
        <v>37</v>
      </c>
      <c r="AI287" s="240" t="n">
        <v>54</v>
      </c>
      <c r="AJ287" s="277" t="n">
        <v>3</v>
      </c>
      <c r="AK287" s="278" t="s">
        <v>115</v>
      </c>
      <c r="AM287" s="229"/>
      <c r="AN287" s="229"/>
      <c r="AO287" s="229"/>
      <c r="AP287" s="229"/>
      <c r="AQ287" s="229"/>
      <c r="AR287" s="229"/>
      <c r="AS287" s="229"/>
      <c r="AT287" s="229"/>
      <c r="AU287" s="229"/>
      <c r="AV287" s="229"/>
      <c r="AW287" s="5"/>
      <c r="AX287" s="5"/>
      <c r="AY287" s="5"/>
      <c r="AZ287" s="5"/>
      <c r="BA287" s="5"/>
      <c r="BB287" s="5"/>
      <c r="BC287" s="5"/>
      <c r="BD287" s="5"/>
      <c r="BE287" s="5"/>
      <c r="BF287" s="5"/>
      <c r="BG287" s="5"/>
    </row>
    <row r="288" customFormat="false" ht="15" hidden="false" customHeight="true" outlineLevel="0" collapsed="false">
      <c r="A288" s="101"/>
      <c r="B288" s="283"/>
      <c r="C288" s="284"/>
      <c r="D288" s="285" t="n">
        <f aca="false">$B$288+$C$288</f>
        <v>0</v>
      </c>
      <c r="E288" s="284"/>
      <c r="F288" s="284"/>
      <c r="G288" s="285" t="n">
        <f aca="false">$E$288+$F$288</f>
        <v>0</v>
      </c>
      <c r="H288" s="283"/>
      <c r="I288" s="284"/>
      <c r="J288" s="285" t="n">
        <f aca="false">$H$288+$I$288</f>
        <v>0</v>
      </c>
      <c r="K288" s="256"/>
      <c r="L288" s="251"/>
      <c r="M288" s="221"/>
      <c r="N288" s="221"/>
      <c r="O288" s="221"/>
      <c r="P288" s="221"/>
      <c r="Q288" s="221"/>
      <c r="R288" s="221"/>
      <c r="S288" s="221"/>
      <c r="T288" s="221"/>
      <c r="U288" s="222" t="s">
        <v>159</v>
      </c>
      <c r="V288" s="223" t="s">
        <v>350</v>
      </c>
      <c r="W288" s="224" t="n">
        <v>513</v>
      </c>
      <c r="X288" s="212"/>
      <c r="Y288" s="225"/>
      <c r="Z288" s="225"/>
      <c r="AA288" s="226" t="n">
        <v>202</v>
      </c>
      <c r="AB288" s="227" t="s">
        <v>351</v>
      </c>
      <c r="AC288" s="241" t="n">
        <v>43</v>
      </c>
      <c r="AD288" s="243" t="s">
        <v>352</v>
      </c>
      <c r="AE288" s="234" t="n">
        <v>38</v>
      </c>
      <c r="AF288" s="232" t="s">
        <v>353</v>
      </c>
      <c r="AG288" s="229"/>
      <c r="AH288" s="238" t="n">
        <v>38</v>
      </c>
      <c r="AI288" s="240" t="n">
        <v>55</v>
      </c>
      <c r="AJ288" s="277" t="n">
        <v>4</v>
      </c>
      <c r="AK288" s="278" t="s">
        <v>116</v>
      </c>
      <c r="AM288" s="229"/>
      <c r="AN288" s="229"/>
      <c r="AO288" s="229"/>
      <c r="AP288" s="229"/>
      <c r="AQ288" s="229"/>
      <c r="AR288" s="229"/>
      <c r="AS288" s="229"/>
      <c r="AT288" s="229"/>
      <c r="AU288" s="229"/>
      <c r="AV288" s="229"/>
      <c r="AW288" s="5"/>
      <c r="AX288" s="5"/>
      <c r="AY288" s="5"/>
      <c r="AZ288" s="5"/>
      <c r="BA288" s="5"/>
      <c r="BB288" s="5"/>
      <c r="BC288" s="5"/>
      <c r="BD288" s="5"/>
      <c r="BE288" s="5"/>
      <c r="BF288" s="5"/>
      <c r="BG288" s="5"/>
    </row>
    <row r="289" customFormat="false" ht="15" hidden="false" customHeight="true" outlineLevel="0" collapsed="false">
      <c r="A289" s="267" t="s">
        <v>17</v>
      </c>
      <c r="B289" s="118" t="n">
        <f aca="false">SUM(B277:B287)</f>
        <v>0</v>
      </c>
      <c r="C289" s="119" t="n">
        <f aca="false">SUM(C277:C287)</f>
        <v>0</v>
      </c>
      <c r="D289" s="286" t="n">
        <f aca="false">SUM(D277:D287)</f>
        <v>0</v>
      </c>
      <c r="E289" s="188" t="n">
        <f aca="false">SUM(E277:E287)</f>
        <v>0</v>
      </c>
      <c r="F289" s="119" t="n">
        <f aca="false">SUM(F277:F287)</f>
        <v>0</v>
      </c>
      <c r="G289" s="274" t="n">
        <f aca="false">SUM(G277:G287)</f>
        <v>0</v>
      </c>
      <c r="H289" s="118" t="n">
        <f aca="false">SUM(H277:H287)</f>
        <v>0</v>
      </c>
      <c r="I289" s="119" t="n">
        <f aca="false">SUM(I277:I287)</f>
        <v>0</v>
      </c>
      <c r="J289" s="95" t="n">
        <f aca="false">SUM(J277:J287)</f>
        <v>0</v>
      </c>
      <c r="K289" s="256"/>
      <c r="L289" s="251"/>
      <c r="M289" s="221"/>
      <c r="N289" s="221"/>
      <c r="O289" s="221"/>
      <c r="P289" s="221"/>
      <c r="Q289" s="221"/>
      <c r="R289" s="221"/>
      <c r="S289" s="221"/>
      <c r="T289" s="221"/>
      <c r="U289" s="222" t="s">
        <v>164</v>
      </c>
      <c r="V289" s="223" t="s">
        <v>354</v>
      </c>
      <c r="W289" s="224" t="n">
        <v>601</v>
      </c>
      <c r="X289" s="212"/>
      <c r="Y289" s="225"/>
      <c r="Z289" s="225"/>
      <c r="AA289" s="226" t="n">
        <v>203</v>
      </c>
      <c r="AB289" s="227" t="s">
        <v>355</v>
      </c>
      <c r="AC289" s="241" t="n">
        <v>44</v>
      </c>
      <c r="AD289" s="243" t="s">
        <v>356</v>
      </c>
      <c r="AE289" s="234" t="n">
        <v>39</v>
      </c>
      <c r="AF289" s="232" t="s">
        <v>357</v>
      </c>
      <c r="AG289" s="229"/>
      <c r="AH289" s="238" t="n">
        <v>39</v>
      </c>
      <c r="AI289" s="240" t="n">
        <v>56</v>
      </c>
      <c r="AJ289" s="277" t="n">
        <v>5</v>
      </c>
      <c r="AK289" s="278" t="s">
        <v>358</v>
      </c>
      <c r="AM289" s="229"/>
      <c r="AN289" s="229"/>
      <c r="AO289" s="229"/>
      <c r="AP289" s="229"/>
      <c r="AQ289" s="229"/>
      <c r="AR289" s="229"/>
      <c r="AS289" s="229"/>
      <c r="AT289" s="229"/>
      <c r="AU289" s="229"/>
      <c r="AV289" s="229"/>
      <c r="AW289" s="5"/>
      <c r="AX289" s="5"/>
      <c r="AY289" s="5"/>
      <c r="AZ289" s="5"/>
      <c r="BA289" s="5"/>
      <c r="BB289" s="5"/>
      <c r="BC289" s="5"/>
      <c r="BD289" s="5"/>
      <c r="BE289" s="5"/>
      <c r="BF289" s="5"/>
      <c r="BG289" s="5"/>
    </row>
    <row r="290" customFormat="false" ht="15" hidden="false" customHeight="true" outlineLevel="0" collapsed="false">
      <c r="A290" s="271" t="s">
        <v>285</v>
      </c>
      <c r="B290" s="162" t="str">
        <f aca="false">IF(B289=I$181,"OK","Confira o Quandro 1.1")</f>
        <v>OK</v>
      </c>
      <c r="C290" s="162" t="str">
        <f aca="false">IF(C289=J$181,"OK","Confira o Quandro 1.1")</f>
        <v>OK</v>
      </c>
      <c r="D290" s="162" t="str">
        <f aca="false">IF(D289=K$181,"OK","Confira o Quandro 1.1")</f>
        <v>OK</v>
      </c>
      <c r="E290" s="162" t="str">
        <f aca="false">IF(E289=L$181,"OK","Confira o Quandro 1.1")</f>
        <v>OK</v>
      </c>
      <c r="F290" s="162" t="str">
        <f aca="false">IF(F289=M$181,"OK","Confira o Quandro 1.1")</f>
        <v>OK</v>
      </c>
      <c r="G290" s="162" t="str">
        <f aca="false">IF(G289=N$181,"OK","Confira o Quandro 1.1")</f>
        <v>OK</v>
      </c>
      <c r="H290" s="162" t="str">
        <f aca="false">IF(H289=O$181,"OK","Confira o Quandro 1.1")</f>
        <v>OK</v>
      </c>
      <c r="I290" s="162" t="str">
        <f aca="false">IF(I289=P$181,"OK","Confira o Quandro 1.1")</f>
        <v>OK</v>
      </c>
      <c r="J290" s="162" t="str">
        <f aca="false">IF(J289=Q$181,"OK","Confira o Quandro 1.1")</f>
        <v>OK</v>
      </c>
      <c r="K290" s="287"/>
      <c r="L290" s="251"/>
      <c r="M290" s="221"/>
      <c r="N290" s="221"/>
      <c r="O290" s="221"/>
      <c r="P290" s="221"/>
      <c r="Q290" s="221"/>
      <c r="R290" s="221"/>
      <c r="S290" s="221"/>
      <c r="T290" s="221"/>
      <c r="U290" s="222" t="s">
        <v>164</v>
      </c>
      <c r="V290" s="223" t="s">
        <v>359</v>
      </c>
      <c r="W290" s="224" t="n">
        <v>602</v>
      </c>
      <c r="X290" s="212"/>
      <c r="Y290" s="225"/>
      <c r="Z290" s="225"/>
      <c r="AA290" s="226" t="n">
        <v>204</v>
      </c>
      <c r="AB290" s="227" t="s">
        <v>360</v>
      </c>
      <c r="AC290" s="241" t="n">
        <v>45</v>
      </c>
      <c r="AD290" s="243" t="s">
        <v>361</v>
      </c>
      <c r="AE290" s="229"/>
      <c r="AF290" s="229"/>
      <c r="AG290" s="229"/>
      <c r="AH290" s="238" t="n">
        <v>40</v>
      </c>
      <c r="AI290" s="240" t="n">
        <v>57</v>
      </c>
      <c r="AJ290" s="277" t="n">
        <v>6</v>
      </c>
      <c r="AK290" s="278" t="s">
        <v>362</v>
      </c>
      <c r="AM290" s="229"/>
      <c r="AN290" s="229"/>
      <c r="AO290" s="229"/>
      <c r="AP290" s="229"/>
      <c r="AQ290" s="229"/>
      <c r="AR290" s="229"/>
      <c r="AS290" s="229"/>
      <c r="AT290" s="229"/>
      <c r="AU290" s="229"/>
      <c r="AV290" s="229"/>
      <c r="AW290" s="5"/>
      <c r="AX290" s="5"/>
      <c r="AY290" s="5"/>
      <c r="AZ290" s="5"/>
      <c r="BA290" s="5"/>
      <c r="BB290" s="5"/>
      <c r="BC290" s="5"/>
      <c r="BD290" s="5"/>
      <c r="BE290" s="5"/>
      <c r="BF290" s="5"/>
      <c r="BG290" s="5"/>
    </row>
    <row r="291" customFormat="false" ht="15" hidden="false" customHeight="true" outlineLevel="0" collapsed="false">
      <c r="A291" s="271"/>
      <c r="B291" s="162"/>
      <c r="C291" s="162"/>
      <c r="D291" s="162"/>
      <c r="E291" s="162"/>
      <c r="F291" s="162"/>
      <c r="G291" s="162"/>
      <c r="H291" s="162"/>
      <c r="I291" s="162"/>
      <c r="J291" s="162"/>
      <c r="K291" s="256"/>
      <c r="L291" s="251"/>
      <c r="M291" s="221"/>
      <c r="N291" s="221"/>
      <c r="O291" s="221"/>
      <c r="P291" s="221"/>
      <c r="Q291" s="221"/>
      <c r="R291" s="221"/>
      <c r="S291" s="221"/>
      <c r="T291" s="221"/>
      <c r="U291" s="222"/>
      <c r="V291" s="223"/>
      <c r="W291" s="224"/>
      <c r="X291" s="212"/>
      <c r="Y291" s="225"/>
      <c r="Z291" s="225"/>
      <c r="AA291" s="226"/>
      <c r="AB291" s="227"/>
      <c r="AC291" s="241"/>
      <c r="AD291" s="243"/>
      <c r="AE291" s="229"/>
      <c r="AF291" s="229"/>
      <c r="AG291" s="229"/>
      <c r="AH291" s="238"/>
      <c r="AI291" s="240"/>
      <c r="AJ291" s="277"/>
      <c r="AK291" s="278"/>
      <c r="AM291" s="229"/>
      <c r="AN291" s="229"/>
      <c r="AO291" s="229"/>
      <c r="AP291" s="229"/>
      <c r="AQ291" s="229"/>
      <c r="AR291" s="229"/>
      <c r="AS291" s="229"/>
      <c r="AT291" s="229"/>
      <c r="AU291" s="229"/>
      <c r="AV291" s="229"/>
      <c r="AW291" s="5"/>
      <c r="AX291" s="5"/>
      <c r="AY291" s="5"/>
      <c r="AZ291" s="5"/>
      <c r="BA291" s="5"/>
      <c r="BB291" s="5"/>
      <c r="BC291" s="5"/>
      <c r="BD291" s="5"/>
      <c r="BE291" s="5"/>
      <c r="BF291" s="5"/>
      <c r="BG291" s="5"/>
    </row>
    <row r="292" customFormat="false" ht="15" hidden="false" customHeight="true" outlineLevel="0" collapsed="false">
      <c r="A292" s="288" t="s">
        <v>363</v>
      </c>
      <c r="B292" s="289"/>
      <c r="C292" s="289"/>
      <c r="D292" s="289"/>
      <c r="E292" s="290"/>
      <c r="F292" s="162"/>
      <c r="G292" s="162"/>
      <c r="H292" s="162"/>
      <c r="I292" s="162"/>
      <c r="J292" s="162"/>
      <c r="K292" s="256"/>
      <c r="L292" s="251"/>
      <c r="M292" s="221"/>
      <c r="N292" s="221"/>
      <c r="O292" s="221"/>
      <c r="P292" s="221"/>
      <c r="Q292" s="221"/>
      <c r="R292" s="221"/>
      <c r="S292" s="221"/>
      <c r="T292" s="221"/>
      <c r="U292" s="222"/>
      <c r="V292" s="223"/>
      <c r="W292" s="224"/>
      <c r="X292" s="212"/>
      <c r="Y292" s="225"/>
      <c r="Z292" s="225"/>
      <c r="AA292" s="226"/>
      <c r="AB292" s="227"/>
      <c r="AC292" s="241"/>
      <c r="AD292" s="243"/>
      <c r="AE292" s="229"/>
      <c r="AF292" s="229"/>
      <c r="AG292" s="229"/>
      <c r="AH292" s="238"/>
      <c r="AI292" s="240"/>
      <c r="AJ292" s="277"/>
      <c r="AK292" s="278"/>
      <c r="AM292" s="229"/>
      <c r="AN292" s="229"/>
      <c r="AO292" s="229"/>
      <c r="AP292" s="229"/>
      <c r="AQ292" s="229"/>
      <c r="AR292" s="229"/>
      <c r="AS292" s="229"/>
      <c r="AT292" s="229"/>
      <c r="AU292" s="229"/>
      <c r="AV292" s="229"/>
      <c r="AW292" s="5"/>
      <c r="AX292" s="5"/>
      <c r="AY292" s="5"/>
      <c r="AZ292" s="5"/>
      <c r="BA292" s="5"/>
      <c r="BB292" s="5"/>
      <c r="BC292" s="5"/>
      <c r="BD292" s="5"/>
      <c r="BE292" s="5"/>
      <c r="BF292" s="5"/>
      <c r="BG292" s="5"/>
    </row>
    <row r="293" customFormat="false" ht="15" hidden="false" customHeight="true" outlineLevel="0" collapsed="false">
      <c r="A293" s="73"/>
      <c r="B293" s="162"/>
      <c r="C293" s="162"/>
      <c r="D293" s="162"/>
      <c r="E293" s="162"/>
      <c r="F293" s="162"/>
      <c r="G293" s="162"/>
      <c r="H293" s="162"/>
      <c r="I293" s="162"/>
      <c r="J293" s="162"/>
      <c r="K293" s="256"/>
      <c r="L293" s="251"/>
      <c r="M293" s="221"/>
      <c r="N293" s="221"/>
      <c r="O293" s="221"/>
      <c r="P293" s="221"/>
      <c r="Q293" s="221"/>
      <c r="R293" s="221"/>
      <c r="S293" s="221"/>
      <c r="T293" s="221"/>
      <c r="U293" s="222" t="s">
        <v>164</v>
      </c>
      <c r="V293" s="223" t="s">
        <v>364</v>
      </c>
      <c r="W293" s="224" t="n">
        <v>603</v>
      </c>
      <c r="X293" s="212"/>
      <c r="Y293" s="225"/>
      <c r="Z293" s="225"/>
      <c r="AA293" s="226" t="n">
        <v>205</v>
      </c>
      <c r="AB293" s="227" t="s">
        <v>365</v>
      </c>
      <c r="AC293" s="241" t="n">
        <v>46</v>
      </c>
      <c r="AD293" s="243" t="s">
        <v>366</v>
      </c>
      <c r="AE293" s="229"/>
      <c r="AF293" s="229"/>
      <c r="AG293" s="229"/>
      <c r="AH293" s="238" t="n">
        <v>41</v>
      </c>
      <c r="AI293" s="240" t="n">
        <v>58</v>
      </c>
      <c r="AJ293" s="277" t="n">
        <v>7</v>
      </c>
      <c r="AK293" s="278" t="s">
        <v>367</v>
      </c>
      <c r="AM293" s="229"/>
      <c r="AN293" s="229"/>
      <c r="AO293" s="229"/>
      <c r="AP293" s="229"/>
      <c r="AQ293" s="229"/>
      <c r="AR293" s="229"/>
      <c r="AS293" s="229"/>
      <c r="AT293" s="229"/>
      <c r="AU293" s="229"/>
      <c r="AV293" s="229"/>
      <c r="AW293" s="5"/>
      <c r="AX293" s="5"/>
      <c r="AY293" s="5"/>
      <c r="AZ293" s="5"/>
      <c r="BA293" s="5"/>
      <c r="BB293" s="5"/>
      <c r="BC293" s="5"/>
      <c r="BD293" s="5"/>
      <c r="BE293" s="5"/>
      <c r="BF293" s="5"/>
      <c r="BG293" s="5"/>
    </row>
    <row r="294" customFormat="false" ht="15" hidden="false" customHeight="true" outlineLevel="0" collapsed="false">
      <c r="A294" s="8" t="s">
        <v>368</v>
      </c>
      <c r="B294" s="8"/>
      <c r="C294" s="8"/>
      <c r="D294" s="8"/>
      <c r="E294" s="8"/>
      <c r="F294" s="8"/>
      <c r="G294" s="8"/>
      <c r="H294" s="8"/>
      <c r="I294" s="8"/>
      <c r="J294" s="8"/>
      <c r="K294" s="291"/>
      <c r="L294" s="292"/>
      <c r="M294" s="221"/>
      <c r="N294" s="221"/>
      <c r="O294" s="221"/>
      <c r="P294" s="221"/>
      <c r="Q294" s="221"/>
      <c r="R294" s="221"/>
      <c r="S294" s="221"/>
      <c r="T294" s="221"/>
      <c r="U294" s="222" t="s">
        <v>164</v>
      </c>
      <c r="V294" s="223" t="s">
        <v>369</v>
      </c>
      <c r="W294" s="224" t="n">
        <v>604</v>
      </c>
      <c r="X294" s="212"/>
      <c r="Y294" s="225"/>
      <c r="Z294" s="225"/>
      <c r="AA294" s="226" t="n">
        <v>206</v>
      </c>
      <c r="AB294" s="227" t="s">
        <v>370</v>
      </c>
      <c r="AC294" s="241" t="n">
        <v>47</v>
      </c>
      <c r="AD294" s="243" t="s">
        <v>371</v>
      </c>
      <c r="AE294" s="229"/>
      <c r="AF294" s="229"/>
      <c r="AG294" s="229"/>
      <c r="AH294" s="238" t="n">
        <v>42</v>
      </c>
      <c r="AI294" s="240" t="n">
        <v>59</v>
      </c>
      <c r="AJ294" s="277" t="n">
        <v>8</v>
      </c>
      <c r="AK294" s="278" t="s">
        <v>372</v>
      </c>
      <c r="AM294" s="229"/>
      <c r="AN294" s="229"/>
      <c r="AO294" s="229"/>
      <c r="AP294" s="229"/>
      <c r="AQ294" s="229"/>
      <c r="AR294" s="229"/>
      <c r="AS294" s="229"/>
      <c r="AT294" s="229"/>
      <c r="AU294" s="229"/>
      <c r="AV294" s="229"/>
      <c r="AW294" s="5"/>
      <c r="AX294" s="5"/>
      <c r="AY294" s="5"/>
      <c r="AZ294" s="5"/>
      <c r="BA294" s="5"/>
      <c r="BB294" s="5"/>
      <c r="BC294" s="5"/>
      <c r="BD294" s="5"/>
      <c r="BE294" s="5"/>
      <c r="BF294" s="5"/>
      <c r="BG294" s="5"/>
    </row>
    <row r="295" customFormat="false" ht="15" hidden="false" customHeight="true" outlineLevel="0" collapsed="false">
      <c r="A295" s="88" t="s">
        <v>373</v>
      </c>
      <c r="B295" s="88" t="s">
        <v>83</v>
      </c>
      <c r="C295" s="88"/>
      <c r="D295" s="88"/>
      <c r="E295" s="88" t="s">
        <v>84</v>
      </c>
      <c r="F295" s="88"/>
      <c r="G295" s="88"/>
      <c r="H295" s="88" t="s">
        <v>85</v>
      </c>
      <c r="I295" s="88"/>
      <c r="J295" s="88"/>
      <c r="K295" s="256"/>
      <c r="L295" s="251"/>
      <c r="M295" s="221"/>
      <c r="N295" s="221"/>
      <c r="O295" s="221"/>
      <c r="P295" s="221"/>
      <c r="Q295" s="221"/>
      <c r="R295" s="221"/>
      <c r="S295" s="221"/>
      <c r="T295" s="221"/>
      <c r="U295" s="222" t="s">
        <v>164</v>
      </c>
      <c r="V295" s="223" t="s">
        <v>374</v>
      </c>
      <c r="W295" s="224" t="n">
        <v>605</v>
      </c>
      <c r="X295" s="212"/>
      <c r="Y295" s="225"/>
      <c r="Z295" s="225"/>
      <c r="AA295" s="226" t="n">
        <v>207</v>
      </c>
      <c r="AB295" s="227" t="s">
        <v>375</v>
      </c>
      <c r="AC295" s="241" t="n">
        <v>48</v>
      </c>
      <c r="AD295" s="243" t="s">
        <v>376</v>
      </c>
      <c r="AE295" s="229"/>
      <c r="AF295" s="229"/>
      <c r="AG295" s="229"/>
      <c r="AH295" s="238" t="n">
        <v>43</v>
      </c>
      <c r="AI295" s="240" t="n">
        <v>60</v>
      </c>
      <c r="AJ295" s="277" t="n">
        <v>9</v>
      </c>
      <c r="AK295" s="278" t="s">
        <v>377</v>
      </c>
      <c r="AM295" s="229"/>
      <c r="AN295" s="229"/>
      <c r="AO295" s="229"/>
      <c r="AP295" s="229"/>
      <c r="AQ295" s="229"/>
      <c r="AR295" s="229"/>
      <c r="AS295" s="229"/>
      <c r="AT295" s="229"/>
      <c r="AU295" s="229"/>
      <c r="AV295" s="229"/>
      <c r="AW295" s="5"/>
      <c r="AX295" s="5"/>
      <c r="AY295" s="5"/>
      <c r="AZ295" s="5"/>
      <c r="BA295" s="5"/>
      <c r="BB295" s="5"/>
      <c r="BC295" s="5"/>
      <c r="BD295" s="5"/>
      <c r="BE295" s="5"/>
      <c r="BF295" s="5"/>
      <c r="BG295" s="5"/>
    </row>
    <row r="296" customFormat="false" ht="15" hidden="false" customHeight="true" outlineLevel="0" collapsed="false">
      <c r="A296" s="88"/>
      <c r="B296" s="88" t="s">
        <v>15</v>
      </c>
      <c r="C296" s="90" t="s">
        <v>98</v>
      </c>
      <c r="D296" s="95" t="s">
        <v>17</v>
      </c>
      <c r="E296" s="92" t="s">
        <v>15</v>
      </c>
      <c r="F296" s="90" t="s">
        <v>98</v>
      </c>
      <c r="G296" s="95" t="s">
        <v>17</v>
      </c>
      <c r="H296" s="88" t="s">
        <v>15</v>
      </c>
      <c r="I296" s="90" t="s">
        <v>98</v>
      </c>
      <c r="J296" s="95" t="s">
        <v>17</v>
      </c>
      <c r="K296" s="256"/>
      <c r="L296" s="251"/>
      <c r="M296" s="221"/>
      <c r="N296" s="221"/>
      <c r="O296" s="221"/>
      <c r="P296" s="221"/>
      <c r="Q296" s="221"/>
      <c r="R296" s="221"/>
      <c r="S296" s="221"/>
      <c r="T296" s="221"/>
      <c r="U296" s="222" t="s">
        <v>164</v>
      </c>
      <c r="V296" s="223" t="s">
        <v>288</v>
      </c>
      <c r="W296" s="224" t="n">
        <v>606</v>
      </c>
      <c r="X296" s="212"/>
      <c r="Y296" s="225"/>
      <c r="Z296" s="225"/>
      <c r="AA296" s="226" t="n">
        <v>208</v>
      </c>
      <c r="AB296" s="227" t="s">
        <v>378</v>
      </c>
      <c r="AC296" s="241" t="n">
        <v>49</v>
      </c>
      <c r="AD296" s="243" t="s">
        <v>379</v>
      </c>
      <c r="AE296" s="229"/>
      <c r="AF296" s="229"/>
      <c r="AG296" s="229"/>
      <c r="AH296" s="238"/>
      <c r="AI296" s="240"/>
      <c r="AJ296" s="277" t="n">
        <v>10</v>
      </c>
      <c r="AK296" s="278" t="s">
        <v>380</v>
      </c>
      <c r="AM296" s="229"/>
      <c r="AN296" s="229"/>
      <c r="AO296" s="229"/>
      <c r="AP296" s="229"/>
      <c r="AQ296" s="229"/>
      <c r="AR296" s="229"/>
      <c r="AS296" s="229"/>
      <c r="AT296" s="229"/>
      <c r="AU296" s="229"/>
      <c r="AV296" s="229"/>
      <c r="AW296" s="5"/>
      <c r="AX296" s="5"/>
      <c r="AY296" s="5"/>
      <c r="AZ296" s="5"/>
      <c r="BA296" s="5"/>
      <c r="BB296" s="5"/>
      <c r="BC296" s="5"/>
      <c r="BD296" s="5"/>
      <c r="BE296" s="5"/>
      <c r="BF296" s="5"/>
      <c r="BG296" s="5"/>
    </row>
    <row r="297" customFormat="false" ht="15" hidden="false" customHeight="true" outlineLevel="0" collapsed="false">
      <c r="A297" s="293" t="s">
        <v>381</v>
      </c>
      <c r="B297" s="97"/>
      <c r="C297" s="98"/>
      <c r="D297" s="126" t="n">
        <f aca="false">$B$297+$C$297</f>
        <v>0</v>
      </c>
      <c r="E297" s="127"/>
      <c r="F297" s="128"/>
      <c r="G297" s="126" t="n">
        <f aca="false">$E$297+$F$297</f>
        <v>0</v>
      </c>
      <c r="H297" s="294"/>
      <c r="I297" s="128"/>
      <c r="J297" s="126" t="n">
        <f aca="false">$H$297+$I$297</f>
        <v>0</v>
      </c>
      <c r="K297" s="256"/>
      <c r="L297" s="251"/>
      <c r="M297" s="221"/>
      <c r="N297" s="221"/>
      <c r="O297" s="221"/>
      <c r="P297" s="221"/>
      <c r="Q297" s="221"/>
      <c r="R297" s="221"/>
      <c r="S297" s="221"/>
      <c r="T297" s="221"/>
      <c r="U297" s="222" t="s">
        <v>164</v>
      </c>
      <c r="V297" s="223" t="s">
        <v>293</v>
      </c>
      <c r="W297" s="224" t="n">
        <v>607</v>
      </c>
      <c r="X297" s="212"/>
      <c r="Y297" s="225"/>
      <c r="Z297" s="225"/>
      <c r="AA297" s="226" t="n">
        <v>209</v>
      </c>
      <c r="AB297" s="227" t="s">
        <v>382</v>
      </c>
      <c r="AC297" s="241" t="n">
        <v>50</v>
      </c>
      <c r="AD297" s="243" t="s">
        <v>383</v>
      </c>
      <c r="AE297" s="229" t="s">
        <v>113</v>
      </c>
      <c r="AF297" s="229" t="s">
        <v>384</v>
      </c>
      <c r="AG297" s="229"/>
      <c r="AH297" s="230" t="s">
        <v>113</v>
      </c>
      <c r="AI297" s="231" t="s">
        <v>385</v>
      </c>
      <c r="AJ297" s="229"/>
      <c r="AK297" s="238"/>
      <c r="AL297" s="295"/>
      <c r="AM297" s="295"/>
      <c r="AN297" s="296"/>
      <c r="AO297" s="296"/>
      <c r="AP297" s="229"/>
      <c r="AQ297" s="229"/>
      <c r="AR297" s="229"/>
      <c r="AS297" s="229"/>
      <c r="AT297" s="229"/>
      <c r="AU297" s="229"/>
      <c r="AV297" s="229"/>
      <c r="AW297" s="5"/>
      <c r="AX297" s="5"/>
      <c r="AY297" s="5"/>
      <c r="AZ297" s="5"/>
      <c r="BA297" s="5"/>
      <c r="BB297" s="5"/>
      <c r="BC297" s="5"/>
      <c r="BD297" s="5"/>
      <c r="BE297" s="5"/>
      <c r="BF297" s="5"/>
      <c r="BG297" s="5"/>
    </row>
    <row r="298" customFormat="false" ht="15" hidden="false" customHeight="true" outlineLevel="0" collapsed="false">
      <c r="A298" s="297" t="s">
        <v>386</v>
      </c>
      <c r="B298" s="102"/>
      <c r="C298" s="103"/>
      <c r="D298" s="130" t="n">
        <f aca="false">$B$298+$C$298</f>
        <v>0</v>
      </c>
      <c r="E298" s="131"/>
      <c r="F298" s="132"/>
      <c r="G298" s="130" t="n">
        <f aca="false">$E$298+$F$298</f>
        <v>0</v>
      </c>
      <c r="H298" s="298"/>
      <c r="I298" s="132"/>
      <c r="J298" s="130" t="n">
        <f aca="false">$H$298+$I$298</f>
        <v>0</v>
      </c>
      <c r="K298" s="256"/>
      <c r="L298" s="251"/>
      <c r="M298" s="221"/>
      <c r="N298" s="221"/>
      <c r="O298" s="221"/>
      <c r="P298" s="221"/>
      <c r="Q298" s="221"/>
      <c r="R298" s="221"/>
      <c r="S298" s="221"/>
      <c r="T298" s="221"/>
      <c r="U298" s="222" t="s">
        <v>164</v>
      </c>
      <c r="V298" s="223" t="s">
        <v>164</v>
      </c>
      <c r="W298" s="224" t="n">
        <v>608</v>
      </c>
      <c r="X298" s="212"/>
      <c r="Y298" s="225"/>
      <c r="Z298" s="225"/>
      <c r="AA298" s="226" t="n">
        <v>210</v>
      </c>
      <c r="AB298" s="227" t="s">
        <v>387</v>
      </c>
      <c r="AC298" s="241" t="n">
        <v>51</v>
      </c>
      <c r="AD298" s="243" t="s">
        <v>388</v>
      </c>
      <c r="AE298" s="229"/>
      <c r="AF298" s="229"/>
      <c r="AG298" s="229"/>
      <c r="AH298" s="230" t="n">
        <v>1</v>
      </c>
      <c r="AI298" s="231" t="s">
        <v>389</v>
      </c>
      <c r="AJ298" s="229"/>
      <c r="AK298" s="231"/>
      <c r="AL298" s="299"/>
      <c r="AM298" s="299"/>
      <c r="AN298" s="299"/>
      <c r="AO298" s="299"/>
      <c r="AP298" s="229"/>
      <c r="AQ298" s="300"/>
      <c r="AR298" s="301"/>
      <c r="AS298" s="300"/>
      <c r="AT298" s="229"/>
      <c r="AU298" s="229"/>
      <c r="AV298" s="229"/>
      <c r="AW298" s="5"/>
      <c r="AX298" s="5"/>
      <c r="AY298" s="5"/>
      <c r="AZ298" s="5"/>
      <c r="BA298" s="5"/>
      <c r="BB298" s="5"/>
      <c r="BC298" s="5"/>
      <c r="BD298" s="5"/>
      <c r="BE298" s="5"/>
      <c r="BF298" s="5"/>
      <c r="BG298" s="5"/>
    </row>
    <row r="299" customFormat="false" ht="15" hidden="false" customHeight="true" outlineLevel="0" collapsed="false">
      <c r="A299" s="297" t="s">
        <v>390</v>
      </c>
      <c r="B299" s="102"/>
      <c r="C299" s="103"/>
      <c r="D299" s="130" t="n">
        <f aca="false">$B$299+$C$299</f>
        <v>0</v>
      </c>
      <c r="E299" s="131"/>
      <c r="F299" s="132"/>
      <c r="G299" s="130" t="n">
        <f aca="false">$E$299+$F$299</f>
        <v>0</v>
      </c>
      <c r="H299" s="298"/>
      <c r="I299" s="132"/>
      <c r="J299" s="130" t="n">
        <f aca="false">$H$299+$I$299</f>
        <v>0</v>
      </c>
      <c r="K299" s="256"/>
      <c r="L299" s="251"/>
      <c r="M299" s="221"/>
      <c r="N299" s="221"/>
      <c r="O299" s="221"/>
      <c r="P299" s="221"/>
      <c r="Q299" s="221"/>
      <c r="R299" s="221"/>
      <c r="S299" s="221"/>
      <c r="T299" s="221"/>
      <c r="U299" s="222" t="s">
        <v>164</v>
      </c>
      <c r="V299" s="223" t="s">
        <v>391</v>
      </c>
      <c r="W299" s="224" t="n">
        <v>609</v>
      </c>
      <c r="X299" s="212"/>
      <c r="Y299" s="225"/>
      <c r="Z299" s="225"/>
      <c r="AA299" s="226" t="n">
        <v>211</v>
      </c>
      <c r="AB299" s="227" t="s">
        <v>392</v>
      </c>
      <c r="AC299" s="241" t="n">
        <v>52</v>
      </c>
      <c r="AD299" s="243" t="s">
        <v>393</v>
      </c>
      <c r="AE299" s="229"/>
      <c r="AF299" s="229"/>
      <c r="AG299" s="229"/>
      <c r="AH299" s="230" t="n">
        <v>2</v>
      </c>
      <c r="AI299" s="231" t="s">
        <v>394</v>
      </c>
      <c r="AJ299" s="229"/>
      <c r="AK299" s="231"/>
      <c r="AL299" s="299"/>
      <c r="AM299" s="299"/>
      <c r="AN299" s="295"/>
      <c r="AO299" s="296"/>
      <c r="AP299" s="229"/>
      <c r="AQ299" s="300"/>
      <c r="AR299" s="302"/>
      <c r="AS299" s="302"/>
      <c r="AT299" s="229"/>
      <c r="AU299" s="229"/>
      <c r="AV299" s="229"/>
      <c r="AW299" s="5"/>
      <c r="AX299" s="5"/>
      <c r="AY299" s="5"/>
      <c r="AZ299" s="5"/>
      <c r="BA299" s="5"/>
      <c r="BB299" s="5"/>
      <c r="BC299" s="5"/>
      <c r="BD299" s="5"/>
      <c r="BE299" s="5"/>
      <c r="BF299" s="5"/>
      <c r="BG299" s="5"/>
    </row>
    <row r="300" customFormat="false" ht="15" hidden="false" customHeight="true" outlineLevel="0" collapsed="false">
      <c r="A300" s="297" t="s">
        <v>395</v>
      </c>
      <c r="B300" s="102"/>
      <c r="C300" s="103"/>
      <c r="D300" s="130" t="n">
        <f aca="false">$B$300+$C$300</f>
        <v>0</v>
      </c>
      <c r="E300" s="131"/>
      <c r="F300" s="132"/>
      <c r="G300" s="130" t="n">
        <f aca="false">E300+F300</f>
        <v>0</v>
      </c>
      <c r="H300" s="298"/>
      <c r="I300" s="132"/>
      <c r="J300" s="130" t="n">
        <f aca="false">H300+I300</f>
        <v>0</v>
      </c>
      <c r="K300" s="256"/>
      <c r="L300" s="251"/>
      <c r="M300" s="221"/>
      <c r="N300" s="221"/>
      <c r="O300" s="221"/>
      <c r="P300" s="221"/>
      <c r="Q300" s="221"/>
      <c r="R300" s="221"/>
      <c r="S300" s="221"/>
      <c r="T300" s="221"/>
      <c r="U300" s="222" t="s">
        <v>164</v>
      </c>
      <c r="V300" s="223" t="s">
        <v>396</v>
      </c>
      <c r="W300" s="224" t="n">
        <v>610</v>
      </c>
      <c r="X300" s="212"/>
      <c r="Y300" s="225"/>
      <c r="Z300" s="225"/>
      <c r="AA300" s="226" t="n">
        <v>212</v>
      </c>
      <c r="AB300" s="227" t="s">
        <v>397</v>
      </c>
      <c r="AC300" s="241" t="n">
        <v>53</v>
      </c>
      <c r="AD300" s="243" t="s">
        <v>398</v>
      </c>
      <c r="AE300" s="229"/>
      <c r="AF300" s="229"/>
      <c r="AG300" s="229"/>
      <c r="AH300" s="230" t="n">
        <v>3</v>
      </c>
      <c r="AI300" s="231" t="s">
        <v>399</v>
      </c>
      <c r="AJ300" s="229"/>
      <c r="AK300" s="231"/>
      <c r="AL300" s="299"/>
      <c r="AM300" s="299"/>
      <c r="AN300" s="295"/>
      <c r="AO300" s="296"/>
      <c r="AP300" s="229"/>
      <c r="AQ300" s="300"/>
      <c r="AR300" s="278"/>
      <c r="AS300" s="277"/>
      <c r="AT300" s="229"/>
      <c r="AU300" s="229"/>
      <c r="AV300" s="229"/>
      <c r="AW300" s="5"/>
      <c r="AX300" s="5"/>
      <c r="AY300" s="5"/>
      <c r="AZ300" s="5"/>
      <c r="BA300" s="5"/>
      <c r="BB300" s="5"/>
      <c r="BC300" s="5"/>
      <c r="BD300" s="5"/>
      <c r="BE300" s="5"/>
      <c r="BF300" s="5"/>
      <c r="BG300" s="5"/>
    </row>
    <row r="301" customFormat="false" ht="15" hidden="false" customHeight="true" outlineLevel="0" collapsed="false">
      <c r="A301" s="297" t="s">
        <v>400</v>
      </c>
      <c r="B301" s="102"/>
      <c r="C301" s="103"/>
      <c r="D301" s="130" t="n">
        <f aca="false">$B$301+$C$301</f>
        <v>0</v>
      </c>
      <c r="E301" s="131"/>
      <c r="F301" s="132"/>
      <c r="G301" s="130" t="n">
        <f aca="false">$E$301+$F$301</f>
        <v>0</v>
      </c>
      <c r="H301" s="298"/>
      <c r="I301" s="132"/>
      <c r="J301" s="130" t="n">
        <f aca="false">$H$301+$I$301</f>
        <v>0</v>
      </c>
      <c r="K301" s="256"/>
      <c r="L301" s="251"/>
      <c r="M301" s="221"/>
      <c r="N301" s="221"/>
      <c r="O301" s="221"/>
      <c r="P301" s="221"/>
      <c r="Q301" s="221"/>
      <c r="R301" s="221"/>
      <c r="S301" s="221"/>
      <c r="T301" s="221"/>
      <c r="U301" s="222" t="s">
        <v>164</v>
      </c>
      <c r="V301" s="223" t="s">
        <v>401</v>
      </c>
      <c r="W301" s="224" t="n">
        <v>611</v>
      </c>
      <c r="X301" s="212"/>
      <c r="Y301" s="225"/>
      <c r="Z301" s="225"/>
      <c r="AA301" s="226" t="n">
        <v>213</v>
      </c>
      <c r="AB301" s="227" t="s">
        <v>402</v>
      </c>
      <c r="AC301" s="241" t="n">
        <v>54</v>
      </c>
      <c r="AD301" s="243" t="s">
        <v>403</v>
      </c>
      <c r="AE301" s="229"/>
      <c r="AF301" s="229"/>
      <c r="AG301" s="229"/>
      <c r="AH301" s="230" t="n">
        <v>4</v>
      </c>
      <c r="AI301" s="303" t="s">
        <v>404</v>
      </c>
      <c r="AJ301" s="229"/>
      <c r="AK301" s="231"/>
      <c r="AL301" s="299"/>
      <c r="AM301" s="299"/>
      <c r="AN301" s="295"/>
      <c r="AO301" s="296"/>
      <c r="AP301" s="229"/>
      <c r="AQ301" s="300"/>
      <c r="AR301" s="278"/>
      <c r="AS301" s="277"/>
      <c r="AT301" s="229"/>
      <c r="AU301" s="229"/>
      <c r="AV301" s="229"/>
      <c r="AW301" s="5"/>
      <c r="AX301" s="5"/>
      <c r="AY301" s="5"/>
      <c r="AZ301" s="5"/>
      <c r="BA301" s="5"/>
      <c r="BB301" s="5"/>
      <c r="BC301" s="5"/>
      <c r="BD301" s="5"/>
      <c r="BE301" s="5"/>
      <c r="BF301" s="5"/>
      <c r="BG301" s="5"/>
    </row>
    <row r="302" customFormat="false" ht="15" hidden="false" customHeight="true" outlineLevel="0" collapsed="false">
      <c r="A302" s="304" t="s">
        <v>17</v>
      </c>
      <c r="B302" s="118" t="n">
        <f aca="false">SUM(B297:B301)</f>
        <v>0</v>
      </c>
      <c r="C302" s="119" t="n">
        <f aca="false">SUM(C297:C301)</f>
        <v>0</v>
      </c>
      <c r="D302" s="95" t="n">
        <f aca="false">SUM(D297:D301)</f>
        <v>0</v>
      </c>
      <c r="E302" s="188" t="n">
        <f aca="false">SUM(E297:E301)</f>
        <v>0</v>
      </c>
      <c r="F302" s="118" t="n">
        <f aca="false">SUM(F297:F301)</f>
        <v>0</v>
      </c>
      <c r="G302" s="286" t="n">
        <f aca="false">SUM(G297:G301)</f>
        <v>0</v>
      </c>
      <c r="H302" s="118" t="n">
        <f aca="false">SUM(H297:H301)</f>
        <v>0</v>
      </c>
      <c r="I302" s="119" t="n">
        <f aca="false">SUM(I297:I301)</f>
        <v>0</v>
      </c>
      <c r="J302" s="95" t="n">
        <f aca="false">SUM(J297:J301)</f>
        <v>0</v>
      </c>
      <c r="K302" s="256"/>
      <c r="L302" s="251"/>
      <c r="M302" s="221"/>
      <c r="N302" s="221"/>
      <c r="O302" s="221"/>
      <c r="P302" s="221"/>
      <c r="Q302" s="221"/>
      <c r="R302" s="221"/>
      <c r="S302" s="221"/>
      <c r="T302" s="221"/>
      <c r="U302" s="222" t="s">
        <v>164</v>
      </c>
      <c r="V302" s="223" t="s">
        <v>405</v>
      </c>
      <c r="W302" s="224" t="n">
        <v>612</v>
      </c>
      <c r="X302" s="212"/>
      <c r="Y302" s="225"/>
      <c r="Z302" s="225"/>
      <c r="AA302" s="226" t="n">
        <v>214</v>
      </c>
      <c r="AB302" s="227" t="s">
        <v>406</v>
      </c>
      <c r="AC302" s="241" t="n">
        <v>55</v>
      </c>
      <c r="AD302" s="243" t="s">
        <v>407</v>
      </c>
      <c r="AE302" s="229"/>
      <c r="AF302" s="229"/>
      <c r="AG302" s="229"/>
      <c r="AH302" s="238"/>
      <c r="AI302" s="240"/>
      <c r="AJ302" s="229"/>
      <c r="AK302" s="231"/>
      <c r="AL302" s="299"/>
      <c r="AM302" s="299"/>
      <c r="AN302" s="295"/>
      <c r="AO302" s="296"/>
      <c r="AP302" s="229"/>
      <c r="AQ302" s="300"/>
      <c r="AR302" s="278"/>
      <c r="AS302" s="277"/>
      <c r="AT302" s="229"/>
      <c r="AU302" s="229"/>
      <c r="AV302" s="229"/>
      <c r="AW302" s="5"/>
      <c r="AX302" s="5"/>
      <c r="AY302" s="5"/>
      <c r="AZ302" s="5"/>
      <c r="BA302" s="5"/>
      <c r="BB302" s="5"/>
      <c r="BC302" s="5"/>
      <c r="BD302" s="5"/>
      <c r="BE302" s="5"/>
      <c r="BF302" s="5"/>
      <c r="BG302" s="5"/>
    </row>
    <row r="303" customFormat="false" ht="15" hidden="false" customHeight="true" outlineLevel="0" collapsed="false">
      <c r="A303" s="305" t="s">
        <v>12</v>
      </c>
      <c r="B303" s="162" t="str">
        <f aca="false">IF(B302=I$181,"OK","Confira o Quandro 1.1")</f>
        <v>OK</v>
      </c>
      <c r="C303" s="162" t="str">
        <f aca="false">IF(C302=J$181,"OK","Confira o Quandro 1.1")</f>
        <v>OK</v>
      </c>
      <c r="D303" s="162" t="str">
        <f aca="false">IF(D302=K$181,"OK","Confira o Quandro 1.1")</f>
        <v>OK</v>
      </c>
      <c r="E303" s="162" t="str">
        <f aca="false">IF(E302=L$181,"OK","Confira o Quandro 1.1")</f>
        <v>OK</v>
      </c>
      <c r="F303" s="162" t="str">
        <f aca="false">IF(F302=M$181,"OK","Confira o Quandro 1.1")</f>
        <v>OK</v>
      </c>
      <c r="G303" s="162" t="str">
        <f aca="false">IF(G302=N$181,"OK","Confira o Quandro 1.1")</f>
        <v>OK</v>
      </c>
      <c r="H303" s="162" t="str">
        <f aca="false">IF(H302=O$181,"OK","Confira o Quandro 1.1")</f>
        <v>OK</v>
      </c>
      <c r="I303" s="162" t="str">
        <f aca="false">IF(I302=P$181,"OK","Confira o Quandro 1.1")</f>
        <v>OK</v>
      </c>
      <c r="J303" s="162" t="str">
        <f aca="false">IF(J302=Q$181,"OK","Confira o Quandro 1.1")</f>
        <v>OK</v>
      </c>
      <c r="K303" s="306"/>
      <c r="L303" s="307"/>
      <c r="M303" s="221"/>
      <c r="N303" s="221"/>
      <c r="O303" s="221"/>
      <c r="P303" s="221"/>
      <c r="Q303" s="221"/>
      <c r="R303" s="221"/>
      <c r="S303" s="221"/>
      <c r="T303" s="221"/>
      <c r="U303" s="222" t="s">
        <v>170</v>
      </c>
      <c r="V303" s="223" t="s">
        <v>408</v>
      </c>
      <c r="W303" s="224" t="n">
        <v>701</v>
      </c>
      <c r="X303" s="212"/>
      <c r="Y303" s="225"/>
      <c r="Z303" s="225"/>
      <c r="AA303" s="226" t="n">
        <v>215</v>
      </c>
      <c r="AB303" s="227" t="s">
        <v>409</v>
      </c>
      <c r="AC303" s="241" t="n">
        <v>56</v>
      </c>
      <c r="AD303" s="243" t="s">
        <v>410</v>
      </c>
      <c r="AE303" s="229"/>
      <c r="AF303" s="229"/>
      <c r="AG303" s="229"/>
      <c r="AH303" s="238"/>
      <c r="AI303" s="240"/>
      <c r="AJ303" s="229"/>
      <c r="AK303" s="231"/>
      <c r="AL303" s="299"/>
      <c r="AM303" s="299"/>
      <c r="AN303" s="295"/>
      <c r="AO303" s="296"/>
      <c r="AP303" s="229"/>
      <c r="AQ303" s="300"/>
      <c r="AR303" s="278"/>
      <c r="AS303" s="277"/>
      <c r="AT303" s="229"/>
      <c r="AU303" s="229"/>
      <c r="AV303" s="229"/>
      <c r="AW303" s="5"/>
      <c r="AX303" s="5"/>
      <c r="AY303" s="5"/>
      <c r="AZ303" s="5"/>
      <c r="BA303" s="5"/>
      <c r="BB303" s="5"/>
      <c r="BC303" s="5"/>
      <c r="BD303" s="5"/>
      <c r="BE303" s="5"/>
      <c r="BF303" s="5"/>
      <c r="BG303" s="5"/>
    </row>
    <row r="304" customFormat="false" ht="15" hidden="false" customHeight="true" outlineLevel="0" collapsed="false">
      <c r="A304" s="93"/>
      <c r="B304" s="93"/>
      <c r="C304" s="93"/>
      <c r="D304" s="93"/>
      <c r="E304" s="93"/>
      <c r="F304" s="93"/>
      <c r="G304" s="93"/>
      <c r="H304" s="93"/>
      <c r="I304" s="93"/>
      <c r="J304" s="93"/>
      <c r="K304" s="256"/>
      <c r="L304" s="251"/>
      <c r="M304" s="221"/>
      <c r="N304" s="221"/>
      <c r="O304" s="221"/>
      <c r="P304" s="221"/>
      <c r="Q304" s="221"/>
      <c r="R304" s="221"/>
      <c r="S304" s="221"/>
      <c r="T304" s="221"/>
      <c r="U304" s="222" t="s">
        <v>170</v>
      </c>
      <c r="V304" s="223" t="s">
        <v>411</v>
      </c>
      <c r="W304" s="224" t="n">
        <v>702</v>
      </c>
      <c r="X304" s="212"/>
      <c r="Y304" s="225"/>
      <c r="Z304" s="225"/>
      <c r="AA304" s="226" t="n">
        <v>216</v>
      </c>
      <c r="AB304" s="227" t="s">
        <v>412</v>
      </c>
      <c r="AC304" s="241" t="n">
        <v>57</v>
      </c>
      <c r="AD304" s="243" t="s">
        <v>413</v>
      </c>
      <c r="AE304" s="229"/>
      <c r="AF304" s="229"/>
      <c r="AG304" s="229"/>
      <c r="AH304" s="238"/>
      <c r="AI304" s="240"/>
      <c r="AJ304" s="229"/>
      <c r="AK304" s="231"/>
      <c r="AL304" s="299"/>
      <c r="AM304" s="299"/>
      <c r="AN304" s="295"/>
      <c r="AO304" s="296"/>
      <c r="AP304" s="229"/>
      <c r="AQ304" s="300"/>
      <c r="AR304" s="278"/>
      <c r="AS304" s="277"/>
      <c r="AT304" s="229"/>
      <c r="AU304" s="229"/>
      <c r="AV304" s="229"/>
      <c r="AW304" s="5"/>
      <c r="AX304" s="5"/>
      <c r="AY304" s="5"/>
      <c r="AZ304" s="5"/>
      <c r="BA304" s="5"/>
      <c r="BB304" s="5"/>
      <c r="BC304" s="5"/>
      <c r="BD304" s="5"/>
      <c r="BE304" s="5"/>
      <c r="BF304" s="5"/>
      <c r="BG304" s="5"/>
    </row>
    <row r="305" customFormat="false" ht="15" hidden="false" customHeight="true" outlineLevel="0" collapsed="false">
      <c r="A305" s="8" t="s">
        <v>414</v>
      </c>
      <c r="B305" s="8"/>
      <c r="C305" s="8"/>
      <c r="D305" s="8"/>
      <c r="E305" s="87"/>
      <c r="F305" s="8"/>
      <c r="G305" s="8"/>
      <c r="H305" s="8"/>
      <c r="I305" s="8"/>
      <c r="J305" s="8"/>
      <c r="K305" s="291"/>
      <c r="L305" s="219"/>
      <c r="M305" s="220"/>
      <c r="N305" s="220"/>
      <c r="O305" s="220"/>
      <c r="P305" s="220"/>
      <c r="Q305" s="220"/>
      <c r="R305" s="220"/>
      <c r="S305" s="221"/>
      <c r="T305" s="221"/>
      <c r="U305" s="222" t="s">
        <v>170</v>
      </c>
      <c r="V305" s="223" t="s">
        <v>415</v>
      </c>
      <c r="W305" s="224" t="n">
        <v>703</v>
      </c>
      <c r="X305" s="212"/>
      <c r="Y305" s="225"/>
      <c r="Z305" s="225"/>
      <c r="AA305" s="226" t="n">
        <v>217</v>
      </c>
      <c r="AB305" s="227" t="s">
        <v>416</v>
      </c>
      <c r="AC305" s="241" t="n">
        <v>58</v>
      </c>
      <c r="AD305" s="243" t="s">
        <v>417</v>
      </c>
      <c r="AE305" s="229"/>
      <c r="AF305" s="229"/>
      <c r="AG305" s="229"/>
      <c r="AH305" s="238"/>
      <c r="AI305" s="240"/>
      <c r="AJ305" s="229"/>
      <c r="AK305" s="231"/>
      <c r="AL305" s="299"/>
      <c r="AM305" s="299"/>
      <c r="AN305" s="295"/>
      <c r="AO305" s="296"/>
      <c r="AP305" s="229"/>
      <c r="AQ305" s="300"/>
      <c r="AR305" s="278"/>
      <c r="AS305" s="277"/>
      <c r="AT305" s="229"/>
      <c r="AU305" s="229"/>
      <c r="AV305" s="229"/>
      <c r="AW305" s="5"/>
      <c r="AX305" s="5"/>
      <c r="AY305" s="5"/>
      <c r="AZ305" s="5"/>
      <c r="BA305" s="5"/>
      <c r="BB305" s="5"/>
      <c r="BC305" s="5"/>
      <c r="BD305" s="5"/>
      <c r="BE305" s="5"/>
      <c r="BF305" s="5"/>
      <c r="BG305" s="5"/>
    </row>
    <row r="306" customFormat="false" ht="15" hidden="false" customHeight="true" outlineLevel="0" collapsed="false">
      <c r="A306" s="88" t="s">
        <v>3</v>
      </c>
      <c r="B306" s="89" t="s">
        <v>5</v>
      </c>
      <c r="C306" s="89"/>
      <c r="D306" s="89" t="s">
        <v>74</v>
      </c>
      <c r="E306" s="89" t="s">
        <v>418</v>
      </c>
      <c r="F306" s="88" t="s">
        <v>82</v>
      </c>
      <c r="G306" s="88" t="s">
        <v>108</v>
      </c>
      <c r="H306" s="88" t="s">
        <v>419</v>
      </c>
      <c r="I306" s="88" t="s">
        <v>10</v>
      </c>
      <c r="J306" s="257" t="s">
        <v>420</v>
      </c>
      <c r="K306" s="257"/>
      <c r="L306" s="257"/>
      <c r="M306" s="257"/>
      <c r="N306" s="257"/>
      <c r="O306" s="257"/>
      <c r="P306" s="257"/>
      <c r="Q306" s="257"/>
      <c r="R306" s="257"/>
      <c r="S306" s="95" t="s">
        <v>421</v>
      </c>
      <c r="T306" s="221"/>
      <c r="U306" s="222" t="s">
        <v>170</v>
      </c>
      <c r="V306" s="223" t="s">
        <v>422</v>
      </c>
      <c r="W306" s="224" t="n">
        <v>704</v>
      </c>
      <c r="X306" s="212"/>
      <c r="Y306" s="225"/>
      <c r="Z306" s="225"/>
      <c r="AA306" s="226" t="n">
        <v>218</v>
      </c>
      <c r="AB306" s="227" t="s">
        <v>423</v>
      </c>
      <c r="AC306" s="241" t="n">
        <v>59</v>
      </c>
      <c r="AD306" s="243" t="s">
        <v>424</v>
      </c>
      <c r="AE306" s="229"/>
      <c r="AF306" s="229"/>
      <c r="AG306" s="229"/>
      <c r="AH306" s="238"/>
      <c r="AI306" s="240"/>
      <c r="AJ306" s="229"/>
      <c r="AK306" s="231"/>
      <c r="AL306" s="299"/>
      <c r="AM306" s="299"/>
      <c r="AN306" s="295"/>
      <c r="AO306" s="296"/>
      <c r="AP306" s="229"/>
      <c r="AQ306" s="300"/>
      <c r="AR306" s="278"/>
      <c r="AS306" s="277"/>
      <c r="AT306" s="229"/>
      <c r="AU306" s="229"/>
      <c r="AV306" s="229"/>
      <c r="AW306" s="5"/>
      <c r="AX306" s="5"/>
      <c r="AY306" s="5"/>
      <c r="AZ306" s="5"/>
      <c r="BA306" s="5"/>
      <c r="BB306" s="5"/>
      <c r="BC306" s="5"/>
      <c r="BD306" s="5"/>
      <c r="BE306" s="5"/>
      <c r="BF306" s="5"/>
      <c r="BG306" s="5"/>
    </row>
    <row r="307" customFormat="false" ht="15" hidden="false" customHeight="true" outlineLevel="0" collapsed="false">
      <c r="A307" s="88"/>
      <c r="B307" s="235" t="s">
        <v>102</v>
      </c>
      <c r="C307" s="89" t="s">
        <v>103</v>
      </c>
      <c r="D307" s="89"/>
      <c r="E307" s="89"/>
      <c r="F307" s="88"/>
      <c r="G307" s="88"/>
      <c r="H307" s="88"/>
      <c r="I307" s="88"/>
      <c r="J307" s="89" t="s">
        <v>425</v>
      </c>
      <c r="K307" s="88" t="n">
        <v>2016</v>
      </c>
      <c r="L307" s="88" t="n">
        <v>2017</v>
      </c>
      <c r="M307" s="88" t="n">
        <v>2018</v>
      </c>
      <c r="N307" s="88" t="n">
        <v>2019</v>
      </c>
      <c r="O307" s="88" t="n">
        <v>2020</v>
      </c>
      <c r="P307" s="88" t="n">
        <v>2021</v>
      </c>
      <c r="Q307" s="88" t="n">
        <v>2022</v>
      </c>
      <c r="R307" s="88" t="n">
        <v>2023</v>
      </c>
      <c r="S307" s="95"/>
      <c r="T307" s="221"/>
      <c r="U307" s="222" t="s">
        <v>170</v>
      </c>
      <c r="V307" s="223" t="s">
        <v>170</v>
      </c>
      <c r="W307" s="224" t="n">
        <v>705</v>
      </c>
      <c r="X307" s="212"/>
      <c r="Y307" s="225"/>
      <c r="Z307" s="225"/>
      <c r="AA307" s="226" t="n">
        <v>219</v>
      </c>
      <c r="AB307" s="227" t="s">
        <v>426</v>
      </c>
      <c r="AC307" s="241" t="n">
        <v>60</v>
      </c>
      <c r="AD307" s="243" t="s">
        <v>427</v>
      </c>
      <c r="AE307" s="229"/>
      <c r="AF307" s="229"/>
      <c r="AG307" s="229"/>
      <c r="AH307" s="238"/>
      <c r="AI307" s="240"/>
      <c r="AJ307" s="229"/>
      <c r="AK307" s="231"/>
      <c r="AL307" s="299"/>
      <c r="AM307" s="299"/>
      <c r="AN307" s="295"/>
      <c r="AO307" s="296"/>
      <c r="AP307" s="229"/>
      <c r="AQ307" s="300"/>
      <c r="AR307" s="278"/>
      <c r="AS307" s="277"/>
      <c r="AT307" s="229"/>
      <c r="AU307" s="229"/>
      <c r="AV307" s="229"/>
      <c r="AW307" s="5"/>
      <c r="AX307" s="5"/>
      <c r="AY307" s="5"/>
      <c r="AZ307" s="5"/>
      <c r="BA307" s="5"/>
      <c r="BB307" s="5"/>
      <c r="BC307" s="5"/>
      <c r="BD307" s="5"/>
      <c r="BE307" s="5"/>
      <c r="BF307" s="5"/>
      <c r="BG307" s="5"/>
    </row>
    <row r="308" customFormat="false" ht="15" hidden="false" customHeight="true" outlineLevel="0" collapsed="false">
      <c r="A308" s="22" t="s">
        <v>19</v>
      </c>
      <c r="B308" s="24"/>
      <c r="C308" s="25"/>
      <c r="D308" s="97"/>
      <c r="E308" s="308"/>
      <c r="F308" s="96"/>
      <c r="G308" s="27"/>
      <c r="H308" s="309"/>
      <c r="I308" s="29"/>
      <c r="J308" s="310"/>
      <c r="K308" s="311"/>
      <c r="L308" s="311"/>
      <c r="M308" s="311"/>
      <c r="N308" s="311"/>
      <c r="O308" s="311"/>
      <c r="P308" s="311"/>
      <c r="Q308" s="311"/>
      <c r="R308" s="311"/>
      <c r="S308" s="99" t="n">
        <f aca="false">SUM($J$308:$R$308)</f>
        <v>0</v>
      </c>
      <c r="T308" s="221"/>
      <c r="U308" s="222" t="s">
        <v>170</v>
      </c>
      <c r="V308" s="223" t="s">
        <v>428</v>
      </c>
      <c r="W308" s="224" t="n">
        <v>706</v>
      </c>
      <c r="X308" s="212"/>
      <c r="Y308" s="225"/>
      <c r="Z308" s="225"/>
      <c r="AA308" s="226" t="n">
        <v>220</v>
      </c>
      <c r="AB308" s="227" t="s">
        <v>429</v>
      </c>
      <c r="AC308" s="241" t="n">
        <v>61</v>
      </c>
      <c r="AD308" s="243" t="s">
        <v>430</v>
      </c>
      <c r="AE308" s="229"/>
      <c r="AF308" s="229"/>
      <c r="AG308" s="229"/>
      <c r="AH308" s="238"/>
      <c r="AI308" s="240"/>
      <c r="AJ308" s="229"/>
      <c r="AK308" s="231"/>
      <c r="AL308" s="299"/>
      <c r="AM308" s="299"/>
      <c r="AN308" s="295"/>
      <c r="AO308" s="296"/>
      <c r="AP308" s="229"/>
      <c r="AQ308" s="300"/>
      <c r="AR308" s="278"/>
      <c r="AS308" s="277"/>
      <c r="AT308" s="229"/>
      <c r="AU308" s="229"/>
      <c r="AV308" s="229"/>
      <c r="AW308" s="5"/>
      <c r="AX308" s="5"/>
      <c r="AY308" s="5"/>
      <c r="AZ308" s="5"/>
      <c r="BA308" s="5"/>
      <c r="BB308" s="5"/>
      <c r="BC308" s="5"/>
      <c r="BD308" s="5"/>
      <c r="BE308" s="5"/>
      <c r="BF308" s="5"/>
      <c r="BG308" s="5"/>
    </row>
    <row r="309" customFormat="false" ht="15" hidden="false" customHeight="true" outlineLevel="0" collapsed="false">
      <c r="A309" s="35" t="s">
        <v>20</v>
      </c>
      <c r="B309" s="37"/>
      <c r="C309" s="38"/>
      <c r="D309" s="102"/>
      <c r="E309" s="312"/>
      <c r="F309" s="101"/>
      <c r="G309" s="40"/>
      <c r="H309" s="313"/>
      <c r="I309" s="42"/>
      <c r="J309" s="314"/>
      <c r="K309" s="315"/>
      <c r="L309" s="315"/>
      <c r="M309" s="315"/>
      <c r="N309" s="315"/>
      <c r="O309" s="315"/>
      <c r="P309" s="315"/>
      <c r="Q309" s="315"/>
      <c r="R309" s="315"/>
      <c r="S309" s="104" t="n">
        <f aca="false">SUM($J$309:$R$309)</f>
        <v>0</v>
      </c>
      <c r="T309" s="221"/>
      <c r="U309" s="222" t="s">
        <v>170</v>
      </c>
      <c r="V309" s="223" t="s">
        <v>431</v>
      </c>
      <c r="W309" s="224" t="n">
        <v>707</v>
      </c>
      <c r="X309" s="212"/>
      <c r="Y309" s="225"/>
      <c r="Z309" s="225"/>
      <c r="AA309" s="226" t="n">
        <v>221</v>
      </c>
      <c r="AB309" s="227" t="s">
        <v>432</v>
      </c>
      <c r="AC309" s="241" t="n">
        <v>62</v>
      </c>
      <c r="AD309" s="243" t="s">
        <v>433</v>
      </c>
      <c r="AE309" s="229"/>
      <c r="AF309" s="229"/>
      <c r="AG309" s="229"/>
      <c r="AH309" s="238"/>
      <c r="AI309" s="240"/>
      <c r="AJ309" s="229"/>
      <c r="AK309" s="231"/>
      <c r="AL309" s="299"/>
      <c r="AM309" s="299"/>
      <c r="AN309" s="295"/>
      <c r="AO309" s="296"/>
      <c r="AP309" s="229"/>
      <c r="AQ309" s="300"/>
      <c r="AR309" s="278"/>
      <c r="AS309" s="277"/>
      <c r="AT309" s="229"/>
      <c r="AU309" s="229"/>
      <c r="AV309" s="229"/>
      <c r="AW309" s="5"/>
      <c r="AX309" s="5"/>
      <c r="AY309" s="5"/>
      <c r="AZ309" s="5"/>
      <c r="BA309" s="5"/>
      <c r="BB309" s="5"/>
      <c r="BC309" s="5"/>
      <c r="BD309" s="5"/>
      <c r="BE309" s="5"/>
      <c r="BF309" s="5"/>
      <c r="BG309" s="5"/>
    </row>
    <row r="310" customFormat="false" ht="15" hidden="false" customHeight="true" outlineLevel="0" collapsed="false">
      <c r="A310" s="35" t="s">
        <v>21</v>
      </c>
      <c r="B310" s="37"/>
      <c r="C310" s="38"/>
      <c r="D310" s="102"/>
      <c r="E310" s="312"/>
      <c r="F310" s="101"/>
      <c r="G310" s="40"/>
      <c r="H310" s="313"/>
      <c r="I310" s="42"/>
      <c r="J310" s="314"/>
      <c r="K310" s="315"/>
      <c r="L310" s="315"/>
      <c r="M310" s="315"/>
      <c r="N310" s="315"/>
      <c r="O310" s="315"/>
      <c r="P310" s="315"/>
      <c r="Q310" s="315"/>
      <c r="R310" s="315"/>
      <c r="S310" s="104" t="n">
        <f aca="false">SUM($J$310:$R$310)</f>
        <v>0</v>
      </c>
      <c r="T310" s="316"/>
      <c r="U310" s="222" t="s">
        <v>170</v>
      </c>
      <c r="V310" s="223" t="s">
        <v>434</v>
      </c>
      <c r="W310" s="224" t="n">
        <v>708</v>
      </c>
      <c r="X310" s="212"/>
      <c r="Y310" s="225"/>
      <c r="Z310" s="225"/>
      <c r="AA310" s="226" t="n">
        <v>222</v>
      </c>
      <c r="AB310" s="227" t="s">
        <v>435</v>
      </c>
      <c r="AC310" s="241" t="n">
        <v>63</v>
      </c>
      <c r="AD310" s="243" t="s">
        <v>436</v>
      </c>
      <c r="AE310" s="229"/>
      <c r="AF310" s="229"/>
      <c r="AG310" s="229"/>
      <c r="AH310" s="238"/>
      <c r="AI310" s="240"/>
      <c r="AJ310" s="229"/>
      <c r="AK310" s="231"/>
      <c r="AL310" s="299"/>
      <c r="AM310" s="299"/>
      <c r="AN310" s="295"/>
      <c r="AO310" s="296"/>
      <c r="AP310" s="229"/>
      <c r="AQ310" s="300"/>
      <c r="AR310" s="278"/>
      <c r="AS310" s="277"/>
      <c r="AT310" s="229"/>
      <c r="AU310" s="229"/>
      <c r="AV310" s="229"/>
      <c r="AW310" s="5"/>
      <c r="AX310" s="5"/>
      <c r="AY310" s="5"/>
      <c r="AZ310" s="5"/>
      <c r="BA310" s="5"/>
      <c r="BB310" s="5"/>
      <c r="BC310" s="5"/>
      <c r="BD310" s="5"/>
      <c r="BE310" s="5"/>
      <c r="BF310" s="5"/>
      <c r="BG310" s="5"/>
    </row>
    <row r="311" customFormat="false" ht="15" hidden="false" customHeight="true" outlineLevel="0" collapsed="false">
      <c r="A311" s="35" t="s">
        <v>22</v>
      </c>
      <c r="B311" s="37"/>
      <c r="C311" s="38"/>
      <c r="D311" s="102"/>
      <c r="E311" s="312"/>
      <c r="F311" s="101"/>
      <c r="G311" s="40"/>
      <c r="H311" s="313"/>
      <c r="I311" s="42"/>
      <c r="J311" s="314"/>
      <c r="K311" s="315"/>
      <c r="L311" s="315"/>
      <c r="M311" s="315"/>
      <c r="N311" s="315"/>
      <c r="O311" s="315"/>
      <c r="P311" s="315"/>
      <c r="Q311" s="315"/>
      <c r="R311" s="315"/>
      <c r="S311" s="104" t="n">
        <f aca="false">SUM($J$311:$R$311)</f>
        <v>0</v>
      </c>
      <c r="T311" s="256"/>
      <c r="U311" s="222" t="s">
        <v>170</v>
      </c>
      <c r="V311" s="223" t="s">
        <v>437</v>
      </c>
      <c r="W311" s="224" t="n">
        <v>709</v>
      </c>
      <c r="X311" s="212"/>
      <c r="Y311" s="225"/>
      <c r="Z311" s="225"/>
      <c r="AA311" s="226" t="n">
        <v>223</v>
      </c>
      <c r="AB311" s="227" t="s">
        <v>438</v>
      </c>
      <c r="AC311" s="241" t="n">
        <v>64</v>
      </c>
      <c r="AD311" s="243" t="s">
        <v>439</v>
      </c>
      <c r="AE311" s="229"/>
      <c r="AF311" s="229"/>
      <c r="AG311" s="229"/>
      <c r="AH311" s="238"/>
      <c r="AI311" s="240"/>
      <c r="AJ311" s="229"/>
      <c r="AK311" s="231"/>
      <c r="AL311" s="299"/>
      <c r="AM311" s="299"/>
      <c r="AN311" s="295"/>
      <c r="AO311" s="296"/>
      <c r="AP311" s="229"/>
      <c r="AQ311" s="300"/>
      <c r="AR311" s="278"/>
      <c r="AS311" s="277"/>
      <c r="AT311" s="229"/>
      <c r="AU311" s="229"/>
      <c r="AV311" s="229"/>
      <c r="AW311" s="5"/>
      <c r="AX311" s="5"/>
      <c r="AY311" s="5"/>
      <c r="AZ311" s="5"/>
      <c r="BA311" s="5"/>
      <c r="BB311" s="5"/>
      <c r="BC311" s="5"/>
      <c r="BD311" s="5"/>
      <c r="BE311" s="5"/>
      <c r="BF311" s="5"/>
      <c r="BG311" s="5"/>
    </row>
    <row r="312" customFormat="false" ht="15" hidden="false" customHeight="true" outlineLevel="0" collapsed="false">
      <c r="A312" s="35" t="s">
        <v>23</v>
      </c>
      <c r="B312" s="37"/>
      <c r="C312" s="38"/>
      <c r="D312" s="102"/>
      <c r="E312" s="312"/>
      <c r="F312" s="101"/>
      <c r="G312" s="40"/>
      <c r="H312" s="313"/>
      <c r="I312" s="42"/>
      <c r="J312" s="314"/>
      <c r="K312" s="315"/>
      <c r="L312" s="315"/>
      <c r="M312" s="315"/>
      <c r="N312" s="315"/>
      <c r="O312" s="315"/>
      <c r="P312" s="315"/>
      <c r="Q312" s="315"/>
      <c r="R312" s="315"/>
      <c r="S312" s="104" t="n">
        <f aca="false">SUM($J$312:$R$312)</f>
        <v>0</v>
      </c>
      <c r="T312" s="256"/>
      <c r="U312" s="222" t="s">
        <v>170</v>
      </c>
      <c r="V312" s="223" t="s">
        <v>440</v>
      </c>
      <c r="W312" s="224" t="n">
        <v>710</v>
      </c>
      <c r="X312" s="212"/>
      <c r="Y312" s="225"/>
      <c r="Z312" s="225"/>
      <c r="AA312" s="226" t="n">
        <v>224</v>
      </c>
      <c r="AB312" s="227" t="s">
        <v>441</v>
      </c>
      <c r="AC312" s="241" t="n">
        <v>65</v>
      </c>
      <c r="AD312" s="243" t="s">
        <v>442</v>
      </c>
      <c r="AE312" s="229"/>
      <c r="AF312" s="229"/>
      <c r="AG312" s="229"/>
      <c r="AH312" s="238"/>
      <c r="AI312" s="240"/>
      <c r="AJ312" s="229"/>
      <c r="AK312" s="231"/>
      <c r="AL312" s="299"/>
      <c r="AM312" s="299"/>
      <c r="AN312" s="295"/>
      <c r="AO312" s="296"/>
      <c r="AP312" s="229"/>
      <c r="AQ312" s="300"/>
      <c r="AR312" s="278"/>
      <c r="AS312" s="277"/>
      <c r="AT312" s="229"/>
      <c r="AU312" s="229"/>
      <c r="AV312" s="229"/>
      <c r="AW312" s="5"/>
      <c r="AX312" s="5"/>
      <c r="AY312" s="5"/>
      <c r="AZ312" s="5"/>
      <c r="BA312" s="5"/>
      <c r="BB312" s="5"/>
      <c r="BC312" s="5"/>
      <c r="BD312" s="5"/>
      <c r="BE312" s="5"/>
      <c r="BF312" s="5"/>
      <c r="BG312" s="5"/>
    </row>
    <row r="313" customFormat="false" ht="15" hidden="false" customHeight="true" outlineLevel="0" collapsed="false">
      <c r="A313" s="35" t="s">
        <v>24</v>
      </c>
      <c r="B313" s="37"/>
      <c r="C313" s="38"/>
      <c r="D313" s="102"/>
      <c r="E313" s="312"/>
      <c r="F313" s="101"/>
      <c r="G313" s="40"/>
      <c r="H313" s="313"/>
      <c r="I313" s="42"/>
      <c r="J313" s="314"/>
      <c r="K313" s="315"/>
      <c r="L313" s="315"/>
      <c r="M313" s="315"/>
      <c r="N313" s="315"/>
      <c r="O313" s="315"/>
      <c r="P313" s="315"/>
      <c r="Q313" s="315"/>
      <c r="R313" s="315"/>
      <c r="S313" s="104" t="n">
        <f aca="false">SUM($J$313:$R$313)</f>
        <v>0</v>
      </c>
      <c r="T313" s="256"/>
      <c r="U313" s="222" t="s">
        <v>170</v>
      </c>
      <c r="V313" s="223" t="s">
        <v>443</v>
      </c>
      <c r="W313" s="224" t="n">
        <v>711</v>
      </c>
      <c r="X313" s="212"/>
      <c r="Y313" s="225"/>
      <c r="Z313" s="225"/>
      <c r="AA313" s="226" t="n">
        <v>225</v>
      </c>
      <c r="AB313" s="227" t="s">
        <v>444</v>
      </c>
      <c r="AC313" s="241" t="n">
        <v>66</v>
      </c>
      <c r="AD313" s="243" t="s">
        <v>445</v>
      </c>
      <c r="AE313" s="229"/>
      <c r="AF313" s="229"/>
      <c r="AG313" s="229"/>
      <c r="AH313" s="238"/>
      <c r="AI313" s="240"/>
      <c r="AJ313" s="229"/>
      <c r="AK313" s="231"/>
      <c r="AL313" s="299"/>
      <c r="AM313" s="299"/>
      <c r="AN313" s="295"/>
      <c r="AO313" s="296"/>
      <c r="AP313" s="229"/>
      <c r="AQ313" s="300"/>
      <c r="AR313" s="278"/>
      <c r="AS313" s="277"/>
      <c r="AT313" s="229"/>
      <c r="AU313" s="229"/>
      <c r="AV313" s="229"/>
      <c r="AW313" s="5"/>
      <c r="AX313" s="5"/>
      <c r="AY313" s="5"/>
      <c r="AZ313" s="5"/>
      <c r="BA313" s="5"/>
      <c r="BB313" s="5"/>
      <c r="BC313" s="5"/>
      <c r="BD313" s="5"/>
      <c r="BE313" s="5"/>
      <c r="BF313" s="5"/>
      <c r="BG313" s="5"/>
    </row>
    <row r="314" customFormat="false" ht="15" hidden="false" customHeight="true" outlineLevel="0" collapsed="false">
      <c r="A314" s="35" t="s">
        <v>25</v>
      </c>
      <c r="B314" s="37"/>
      <c r="C314" s="38"/>
      <c r="D314" s="102"/>
      <c r="E314" s="312"/>
      <c r="F314" s="101"/>
      <c r="G314" s="40"/>
      <c r="H314" s="313"/>
      <c r="I314" s="42"/>
      <c r="J314" s="314"/>
      <c r="K314" s="315"/>
      <c r="L314" s="315"/>
      <c r="M314" s="315"/>
      <c r="N314" s="315"/>
      <c r="O314" s="315"/>
      <c r="P314" s="315"/>
      <c r="Q314" s="315"/>
      <c r="R314" s="315"/>
      <c r="S314" s="104" t="n">
        <f aca="false">SUM($J$314:$R$314)</f>
        <v>0</v>
      </c>
      <c r="T314" s="256"/>
      <c r="U314" s="222" t="s">
        <v>170</v>
      </c>
      <c r="V314" s="223" t="s">
        <v>446</v>
      </c>
      <c r="W314" s="224" t="n">
        <v>712</v>
      </c>
      <c r="X314" s="212"/>
      <c r="Y314" s="225"/>
      <c r="Z314" s="225"/>
      <c r="AA314" s="226" t="n">
        <v>226</v>
      </c>
      <c r="AB314" s="227" t="s">
        <v>447</v>
      </c>
      <c r="AC314" s="241" t="n">
        <v>67</v>
      </c>
      <c r="AD314" s="243" t="s">
        <v>448</v>
      </c>
      <c r="AE314" s="229"/>
      <c r="AF314" s="229"/>
      <c r="AG314" s="229"/>
      <c r="AH314" s="238"/>
      <c r="AI314" s="240"/>
      <c r="AJ314" s="229"/>
      <c r="AK314" s="231"/>
      <c r="AL314" s="299"/>
      <c r="AM314" s="299"/>
      <c r="AN314" s="295"/>
      <c r="AO314" s="296"/>
      <c r="AP314" s="229"/>
      <c r="AQ314" s="300"/>
      <c r="AR314" s="278"/>
      <c r="AS314" s="277"/>
      <c r="AT314" s="229"/>
      <c r="AU314" s="229"/>
      <c r="AV314" s="229"/>
      <c r="AW314" s="5"/>
      <c r="AX314" s="5"/>
      <c r="AY314" s="5"/>
      <c r="AZ314" s="5"/>
      <c r="BA314" s="5"/>
      <c r="BB314" s="5"/>
      <c r="BC314" s="5"/>
      <c r="BD314" s="5"/>
      <c r="BE314" s="5"/>
      <c r="BF314" s="5"/>
      <c r="BG314" s="5"/>
    </row>
    <row r="315" customFormat="false" ht="15" hidden="false" customHeight="true" outlineLevel="0" collapsed="false">
      <c r="A315" s="35" t="s">
        <v>26</v>
      </c>
      <c r="B315" s="37"/>
      <c r="C315" s="38"/>
      <c r="D315" s="102"/>
      <c r="E315" s="312"/>
      <c r="F315" s="101"/>
      <c r="G315" s="40"/>
      <c r="H315" s="313"/>
      <c r="I315" s="42"/>
      <c r="J315" s="314"/>
      <c r="K315" s="315"/>
      <c r="L315" s="315"/>
      <c r="M315" s="315"/>
      <c r="N315" s="315"/>
      <c r="O315" s="315"/>
      <c r="P315" s="315"/>
      <c r="Q315" s="315"/>
      <c r="R315" s="315"/>
      <c r="S315" s="104" t="n">
        <f aca="false">SUM($J$315:$R$315)</f>
        <v>0</v>
      </c>
      <c r="T315" s="256"/>
      <c r="U315" s="222" t="s">
        <v>170</v>
      </c>
      <c r="V315" s="223" t="s">
        <v>307</v>
      </c>
      <c r="W315" s="224" t="n">
        <v>713</v>
      </c>
      <c r="X315" s="212"/>
      <c r="Y315" s="225"/>
      <c r="Z315" s="225"/>
      <c r="AA315" s="226" t="n">
        <v>227</v>
      </c>
      <c r="AB315" s="227" t="s">
        <v>449</v>
      </c>
      <c r="AC315" s="241" t="n">
        <v>68</v>
      </c>
      <c r="AD315" s="243" t="s">
        <v>450</v>
      </c>
      <c r="AE315" s="229"/>
      <c r="AF315" s="229"/>
      <c r="AG315" s="229"/>
      <c r="AH315" s="238"/>
      <c r="AI315" s="240"/>
      <c r="AJ315" s="229"/>
      <c r="AK315" s="231"/>
      <c r="AL315" s="299"/>
      <c r="AM315" s="299"/>
      <c r="AN315" s="295"/>
      <c r="AO315" s="296"/>
      <c r="AP315" s="229"/>
      <c r="AQ315" s="300"/>
      <c r="AR315" s="278"/>
      <c r="AS315" s="277"/>
      <c r="AT315" s="229"/>
      <c r="AU315" s="229"/>
      <c r="AV315" s="229"/>
      <c r="AW315" s="5"/>
      <c r="AX315" s="5"/>
      <c r="AY315" s="5"/>
      <c r="AZ315" s="5"/>
      <c r="BA315" s="5"/>
      <c r="BB315" s="5"/>
      <c r="BC315" s="5"/>
      <c r="BD315" s="5"/>
      <c r="BE315" s="5"/>
      <c r="BF315" s="5"/>
      <c r="BG315" s="5"/>
    </row>
    <row r="316" customFormat="false" ht="15" hidden="false" customHeight="true" outlineLevel="0" collapsed="false">
      <c r="A316" s="35" t="s">
        <v>27</v>
      </c>
      <c r="B316" s="37"/>
      <c r="C316" s="38"/>
      <c r="D316" s="102"/>
      <c r="E316" s="312"/>
      <c r="F316" s="101"/>
      <c r="G316" s="40"/>
      <c r="H316" s="313"/>
      <c r="I316" s="42"/>
      <c r="J316" s="314"/>
      <c r="K316" s="315"/>
      <c r="L316" s="315"/>
      <c r="M316" s="315"/>
      <c r="N316" s="315"/>
      <c r="O316" s="315"/>
      <c r="P316" s="315"/>
      <c r="Q316" s="315"/>
      <c r="R316" s="315"/>
      <c r="S316" s="104" t="n">
        <f aca="false">SUM($J$316:$R$316)</f>
        <v>0</v>
      </c>
      <c r="T316" s="256"/>
      <c r="U316" s="222" t="s">
        <v>170</v>
      </c>
      <c r="V316" s="223" t="s">
        <v>451</v>
      </c>
      <c r="W316" s="224" t="n">
        <v>714</v>
      </c>
      <c r="X316" s="212"/>
      <c r="Y316" s="225"/>
      <c r="Z316" s="225"/>
      <c r="AA316" s="226" t="n">
        <v>228</v>
      </c>
      <c r="AB316" s="227" t="s">
        <v>452</v>
      </c>
      <c r="AC316" s="241" t="n">
        <v>69</v>
      </c>
      <c r="AD316" s="243" t="s">
        <v>453</v>
      </c>
      <c r="AE316" s="229"/>
      <c r="AF316" s="229"/>
      <c r="AG316" s="229"/>
      <c r="AH316" s="238"/>
      <c r="AI316" s="240"/>
      <c r="AJ316" s="229"/>
      <c r="AK316" s="231"/>
      <c r="AL316" s="299"/>
      <c r="AM316" s="299"/>
      <c r="AN316" s="295"/>
      <c r="AO316" s="296"/>
      <c r="AP316" s="229"/>
      <c r="AQ316" s="300"/>
      <c r="AR316" s="278"/>
      <c r="AS316" s="277"/>
      <c r="AT316" s="229"/>
      <c r="AU316" s="229"/>
      <c r="AV316" s="229"/>
      <c r="AW316" s="5"/>
      <c r="AX316" s="5"/>
      <c r="AY316" s="5"/>
      <c r="AZ316" s="5"/>
      <c r="BA316" s="5"/>
      <c r="BB316" s="5"/>
      <c r="BC316" s="5"/>
      <c r="BD316" s="5"/>
      <c r="BE316" s="5"/>
      <c r="BF316" s="5"/>
      <c r="BG316" s="5"/>
    </row>
    <row r="317" customFormat="false" ht="15" hidden="false" customHeight="true" outlineLevel="0" collapsed="false">
      <c r="A317" s="35" t="s">
        <v>28</v>
      </c>
      <c r="B317" s="37"/>
      <c r="C317" s="38"/>
      <c r="D317" s="102"/>
      <c r="E317" s="312"/>
      <c r="F317" s="101"/>
      <c r="G317" s="40"/>
      <c r="H317" s="313"/>
      <c r="I317" s="42"/>
      <c r="J317" s="314"/>
      <c r="K317" s="315"/>
      <c r="L317" s="317"/>
      <c r="M317" s="315"/>
      <c r="N317" s="315"/>
      <c r="O317" s="315"/>
      <c r="P317" s="315"/>
      <c r="Q317" s="315"/>
      <c r="R317" s="315"/>
      <c r="S317" s="104" t="n">
        <f aca="false">SUM($J$317:$R$317)</f>
        <v>0</v>
      </c>
      <c r="T317" s="256"/>
      <c r="U317" s="222" t="s">
        <v>170</v>
      </c>
      <c r="V317" s="223" t="s">
        <v>454</v>
      </c>
      <c r="W317" s="224" t="n">
        <v>715</v>
      </c>
      <c r="X317" s="212"/>
      <c r="Y317" s="225"/>
      <c r="Z317" s="225"/>
      <c r="AA317" s="226" t="n">
        <v>229</v>
      </c>
      <c r="AB317" s="227" t="s">
        <v>455</v>
      </c>
      <c r="AC317" s="241" t="n">
        <v>70</v>
      </c>
      <c r="AD317" s="243" t="s">
        <v>456</v>
      </c>
      <c r="AE317" s="229"/>
      <c r="AF317" s="229"/>
      <c r="AG317" s="229"/>
      <c r="AH317" s="238"/>
      <c r="AI317" s="240"/>
      <c r="AJ317" s="229"/>
      <c r="AK317" s="231"/>
      <c r="AL317" s="299"/>
      <c r="AM317" s="299"/>
      <c r="AN317" s="295"/>
      <c r="AO317" s="296"/>
      <c r="AP317" s="229"/>
      <c r="AQ317" s="300"/>
      <c r="AR317" s="278"/>
      <c r="AS317" s="277"/>
      <c r="AT317" s="229"/>
      <c r="AU317" s="229"/>
      <c r="AV317" s="229"/>
      <c r="AW317" s="5"/>
      <c r="AX317" s="5"/>
      <c r="AY317" s="5"/>
      <c r="AZ317" s="5"/>
      <c r="BA317" s="5"/>
      <c r="BB317" s="5"/>
      <c r="BC317" s="5"/>
      <c r="BD317" s="5"/>
      <c r="BE317" s="5"/>
      <c r="BF317" s="5"/>
      <c r="BG317" s="5"/>
    </row>
    <row r="318" customFormat="false" ht="15" hidden="false" customHeight="true" outlineLevel="0" collapsed="false">
      <c r="A318" s="35" t="s">
        <v>29</v>
      </c>
      <c r="B318" s="37"/>
      <c r="C318" s="38"/>
      <c r="D318" s="102"/>
      <c r="E318" s="318"/>
      <c r="F318" s="101"/>
      <c r="G318" s="40"/>
      <c r="H318" s="313"/>
      <c r="I318" s="42"/>
      <c r="J318" s="319"/>
      <c r="K318" s="315"/>
      <c r="L318" s="315"/>
      <c r="M318" s="315"/>
      <c r="N318" s="315"/>
      <c r="O318" s="315"/>
      <c r="P318" s="315"/>
      <c r="Q318" s="315"/>
      <c r="R318" s="315"/>
      <c r="S318" s="104" t="n">
        <f aca="false">SUM($J$318:$R$318)</f>
        <v>0</v>
      </c>
      <c r="T318" s="256"/>
      <c r="U318" s="222" t="s">
        <v>175</v>
      </c>
      <c r="V318" s="223" t="s">
        <v>457</v>
      </c>
      <c r="W318" s="224" t="n">
        <v>801</v>
      </c>
      <c r="X318" s="212"/>
      <c r="Y318" s="225"/>
      <c r="Z318" s="225"/>
      <c r="AA318" s="226" t="n">
        <v>230</v>
      </c>
      <c r="AB318" s="227" t="s">
        <v>458</v>
      </c>
      <c r="AC318" s="241" t="n">
        <v>71</v>
      </c>
      <c r="AD318" s="243" t="s">
        <v>459</v>
      </c>
      <c r="AE318" s="229"/>
      <c r="AF318" s="229"/>
      <c r="AG318" s="229"/>
      <c r="AH318" s="238"/>
      <c r="AI318" s="240"/>
      <c r="AJ318" s="229"/>
      <c r="AK318" s="231"/>
      <c r="AL318" s="299"/>
      <c r="AM318" s="299"/>
      <c r="AN318" s="295"/>
      <c r="AO318" s="296"/>
      <c r="AP318" s="229"/>
      <c r="AQ318" s="300"/>
      <c r="AR318" s="278"/>
      <c r="AS318" s="277"/>
      <c r="AT318" s="229"/>
      <c r="AU318" s="229"/>
      <c r="AV318" s="229"/>
      <c r="AW318" s="5"/>
      <c r="AX318" s="5"/>
      <c r="AY318" s="5"/>
      <c r="AZ318" s="5"/>
      <c r="BA318" s="5"/>
      <c r="BB318" s="5"/>
      <c r="BC318" s="5"/>
      <c r="BD318" s="5"/>
      <c r="BE318" s="5"/>
      <c r="BF318" s="5"/>
      <c r="BG318" s="5"/>
    </row>
    <row r="319" customFormat="false" ht="15" hidden="false" customHeight="true" outlineLevel="0" collapsed="false">
      <c r="A319" s="35" t="s">
        <v>30</v>
      </c>
      <c r="B319" s="37"/>
      <c r="C319" s="38"/>
      <c r="D319" s="102"/>
      <c r="E319" s="318"/>
      <c r="F319" s="101"/>
      <c r="G319" s="40"/>
      <c r="H319" s="313"/>
      <c r="I319" s="42"/>
      <c r="J319" s="314"/>
      <c r="K319" s="317"/>
      <c r="L319" s="315"/>
      <c r="M319" s="315"/>
      <c r="N319" s="315"/>
      <c r="O319" s="315"/>
      <c r="P319" s="315"/>
      <c r="Q319" s="315"/>
      <c r="R319" s="315"/>
      <c r="S319" s="104" t="n">
        <f aca="false">SUM($J$319:$R$319)</f>
        <v>0</v>
      </c>
      <c r="T319" s="256"/>
      <c r="U319" s="222" t="s">
        <v>175</v>
      </c>
      <c r="V319" s="223" t="s">
        <v>460</v>
      </c>
      <c r="W319" s="224" t="n">
        <v>802</v>
      </c>
      <c r="X319" s="212"/>
      <c r="Y319" s="225"/>
      <c r="Z319" s="225"/>
      <c r="AA319" s="226" t="n">
        <v>231</v>
      </c>
      <c r="AB319" s="227" t="s">
        <v>461</v>
      </c>
      <c r="AC319" s="241" t="n">
        <v>72</v>
      </c>
      <c r="AD319" s="243" t="s">
        <v>462</v>
      </c>
      <c r="AE319" s="229"/>
      <c r="AF319" s="229"/>
      <c r="AG319" s="229"/>
      <c r="AH319" s="238"/>
      <c r="AI319" s="240"/>
      <c r="AJ319" s="229"/>
      <c r="AK319" s="231"/>
      <c r="AL319" s="299"/>
      <c r="AM319" s="299"/>
      <c r="AN319" s="295"/>
      <c r="AO319" s="296"/>
      <c r="AP319" s="229"/>
      <c r="AQ319" s="300"/>
      <c r="AR319" s="278"/>
      <c r="AS319" s="277"/>
      <c r="AT319" s="229"/>
      <c r="AU319" s="229"/>
      <c r="AV319" s="229"/>
      <c r="AW319" s="5"/>
      <c r="AX319" s="5"/>
      <c r="AY319" s="5"/>
      <c r="AZ319" s="5"/>
      <c r="BA319" s="5"/>
      <c r="BB319" s="5"/>
      <c r="BC319" s="5"/>
      <c r="BD319" s="5"/>
      <c r="BE319" s="5"/>
      <c r="BF319" s="5"/>
      <c r="BG319" s="5"/>
    </row>
    <row r="320" customFormat="false" ht="15" hidden="false" customHeight="true" outlineLevel="0" collapsed="false">
      <c r="A320" s="35" t="s">
        <v>31</v>
      </c>
      <c r="B320" s="37"/>
      <c r="C320" s="38"/>
      <c r="D320" s="102"/>
      <c r="E320" s="318"/>
      <c r="F320" s="101"/>
      <c r="G320" s="40"/>
      <c r="H320" s="313"/>
      <c r="I320" s="42"/>
      <c r="J320" s="314"/>
      <c r="K320" s="315"/>
      <c r="L320" s="315"/>
      <c r="M320" s="315"/>
      <c r="N320" s="315"/>
      <c r="O320" s="315"/>
      <c r="P320" s="315"/>
      <c r="Q320" s="315"/>
      <c r="R320" s="315"/>
      <c r="S320" s="104" t="n">
        <f aca="false">SUM($J$320:$R$320)</f>
        <v>0</v>
      </c>
      <c r="T320" s="256"/>
      <c r="U320" s="222" t="s">
        <v>175</v>
      </c>
      <c r="V320" s="223" t="s">
        <v>463</v>
      </c>
      <c r="W320" s="224" t="n">
        <v>803</v>
      </c>
      <c r="X320" s="212"/>
      <c r="Y320" s="225"/>
      <c r="Z320" s="225"/>
      <c r="AA320" s="226" t="n">
        <v>232</v>
      </c>
      <c r="AB320" s="227" t="s">
        <v>464</v>
      </c>
      <c r="AC320" s="241" t="n">
        <v>73</v>
      </c>
      <c r="AD320" s="243" t="s">
        <v>465</v>
      </c>
      <c r="AE320" s="229"/>
      <c r="AF320" s="229"/>
      <c r="AG320" s="229"/>
      <c r="AH320" s="238"/>
      <c r="AI320" s="240"/>
      <c r="AJ320" s="229"/>
      <c r="AK320" s="231"/>
      <c r="AL320" s="299"/>
      <c r="AM320" s="299"/>
      <c r="AN320" s="295"/>
      <c r="AO320" s="296"/>
      <c r="AP320" s="229"/>
      <c r="AQ320" s="300"/>
      <c r="AR320" s="278"/>
      <c r="AS320" s="277"/>
      <c r="AT320" s="229"/>
      <c r="AU320" s="229"/>
      <c r="AV320" s="229"/>
      <c r="AW320" s="5"/>
      <c r="AX320" s="5"/>
      <c r="AY320" s="5"/>
      <c r="AZ320" s="5"/>
      <c r="BA320" s="5"/>
      <c r="BB320" s="5"/>
      <c r="BC320" s="5"/>
      <c r="BD320" s="5"/>
      <c r="BE320" s="5"/>
      <c r="BF320" s="5"/>
      <c r="BG320" s="5"/>
    </row>
    <row r="321" customFormat="false" ht="15" hidden="false" customHeight="true" outlineLevel="0" collapsed="false">
      <c r="A321" s="35" t="s">
        <v>32</v>
      </c>
      <c r="B321" s="37"/>
      <c r="C321" s="38"/>
      <c r="D321" s="102"/>
      <c r="E321" s="318"/>
      <c r="F321" s="101"/>
      <c r="G321" s="40"/>
      <c r="H321" s="313"/>
      <c r="I321" s="42"/>
      <c r="J321" s="314"/>
      <c r="K321" s="317"/>
      <c r="L321" s="315"/>
      <c r="M321" s="315"/>
      <c r="N321" s="315"/>
      <c r="O321" s="315"/>
      <c r="P321" s="315"/>
      <c r="Q321" s="315"/>
      <c r="R321" s="315"/>
      <c r="S321" s="104" t="n">
        <f aca="false">SUM($J$321:$R$321)</f>
        <v>0</v>
      </c>
      <c r="T321" s="256"/>
      <c r="U321" s="222" t="s">
        <v>175</v>
      </c>
      <c r="V321" s="223" t="s">
        <v>311</v>
      </c>
      <c r="W321" s="224" t="n">
        <v>804</v>
      </c>
      <c r="X321" s="212"/>
      <c r="Y321" s="225"/>
      <c r="Z321" s="225"/>
      <c r="AA321" s="226" t="n">
        <v>233</v>
      </c>
      <c r="AB321" s="227" t="s">
        <v>466</v>
      </c>
      <c r="AC321" s="241" t="n">
        <v>74</v>
      </c>
      <c r="AD321" s="243" t="s">
        <v>467</v>
      </c>
      <c r="AE321" s="229"/>
      <c r="AF321" s="229"/>
      <c r="AG321" s="229"/>
      <c r="AH321" s="238"/>
      <c r="AI321" s="240"/>
      <c r="AJ321" s="229"/>
      <c r="AK321" s="231"/>
      <c r="AL321" s="299"/>
      <c r="AM321" s="299"/>
      <c r="AN321" s="295"/>
      <c r="AO321" s="296"/>
      <c r="AP321" s="229"/>
      <c r="AQ321" s="300"/>
      <c r="AR321" s="278"/>
      <c r="AS321" s="277"/>
      <c r="AT321" s="229"/>
      <c r="AU321" s="229"/>
      <c r="AV321" s="229"/>
      <c r="AW321" s="5"/>
      <c r="AX321" s="5"/>
      <c r="AY321" s="5"/>
      <c r="AZ321" s="5"/>
      <c r="BA321" s="5"/>
      <c r="BB321" s="5"/>
      <c r="BC321" s="5"/>
      <c r="BD321" s="5"/>
      <c r="BE321" s="5"/>
      <c r="BF321" s="5"/>
      <c r="BG321" s="5"/>
    </row>
    <row r="322" customFormat="false" ht="15" hidden="false" customHeight="true" outlineLevel="0" collapsed="false">
      <c r="A322" s="35" t="s">
        <v>33</v>
      </c>
      <c r="B322" s="37"/>
      <c r="C322" s="38"/>
      <c r="D322" s="102"/>
      <c r="E322" s="318"/>
      <c r="F322" s="101"/>
      <c r="G322" s="40"/>
      <c r="H322" s="313"/>
      <c r="I322" s="42"/>
      <c r="J322" s="314"/>
      <c r="K322" s="317"/>
      <c r="L322" s="315"/>
      <c r="M322" s="315"/>
      <c r="N322" s="315"/>
      <c r="O322" s="315"/>
      <c r="P322" s="315"/>
      <c r="Q322" s="315"/>
      <c r="R322" s="315"/>
      <c r="S322" s="104" t="n">
        <f aca="false">SUM($J$322:$R$322)</f>
        <v>0</v>
      </c>
      <c r="T322" s="256"/>
      <c r="U322" s="222" t="s">
        <v>175</v>
      </c>
      <c r="V322" s="223" t="s">
        <v>468</v>
      </c>
      <c r="W322" s="224" t="n">
        <v>805</v>
      </c>
      <c r="X322" s="212"/>
      <c r="Y322" s="225"/>
      <c r="Z322" s="225"/>
      <c r="AA322" s="226" t="n">
        <v>234</v>
      </c>
      <c r="AB322" s="227" t="s">
        <v>469</v>
      </c>
      <c r="AC322" s="241" t="n">
        <v>75</v>
      </c>
      <c r="AD322" s="243" t="s">
        <v>470</v>
      </c>
      <c r="AE322" s="229"/>
      <c r="AF322" s="229"/>
      <c r="AG322" s="229"/>
      <c r="AH322" s="238"/>
      <c r="AI322" s="240"/>
      <c r="AJ322" s="229"/>
      <c r="AK322" s="231"/>
      <c r="AL322" s="299"/>
      <c r="AM322" s="299"/>
      <c r="AN322" s="295"/>
      <c r="AO322" s="296"/>
      <c r="AP322" s="229"/>
      <c r="AQ322" s="300"/>
      <c r="AR322" s="278"/>
      <c r="AS322" s="277"/>
      <c r="AT322" s="229"/>
      <c r="AU322" s="229"/>
      <c r="AV322" s="229"/>
      <c r="AW322" s="5"/>
      <c r="AX322" s="5"/>
      <c r="AY322" s="5"/>
      <c r="AZ322" s="5"/>
      <c r="BA322" s="5"/>
      <c r="BB322" s="5"/>
      <c r="BC322" s="5"/>
      <c r="BD322" s="5"/>
      <c r="BE322" s="5"/>
      <c r="BF322" s="5"/>
      <c r="BG322" s="5"/>
    </row>
    <row r="323" customFormat="false" ht="15" hidden="false" customHeight="true" outlineLevel="0" collapsed="false">
      <c r="A323" s="35" t="s">
        <v>34</v>
      </c>
      <c r="B323" s="37"/>
      <c r="C323" s="38"/>
      <c r="D323" s="102"/>
      <c r="E323" s="318"/>
      <c r="F323" s="101"/>
      <c r="G323" s="40"/>
      <c r="H323" s="313"/>
      <c r="I323" s="42"/>
      <c r="J323" s="314"/>
      <c r="K323" s="317"/>
      <c r="L323" s="315"/>
      <c r="M323" s="315"/>
      <c r="N323" s="315"/>
      <c r="O323" s="315"/>
      <c r="P323" s="315"/>
      <c r="Q323" s="315"/>
      <c r="R323" s="315"/>
      <c r="S323" s="104" t="n">
        <f aca="false">SUM($J$323:$R$323)</f>
        <v>0</v>
      </c>
      <c r="T323" s="256"/>
      <c r="U323" s="222" t="s">
        <v>175</v>
      </c>
      <c r="V323" s="223" t="s">
        <v>471</v>
      </c>
      <c r="W323" s="224" t="n">
        <v>806</v>
      </c>
      <c r="X323" s="212"/>
      <c r="Y323" s="225"/>
      <c r="Z323" s="225"/>
      <c r="AA323" s="226" t="n">
        <v>235</v>
      </c>
      <c r="AB323" s="227" t="s">
        <v>472</v>
      </c>
      <c r="AC323" s="241" t="n">
        <v>76</v>
      </c>
      <c r="AD323" s="243" t="s">
        <v>473</v>
      </c>
      <c r="AE323" s="229"/>
      <c r="AF323" s="229"/>
      <c r="AG323" s="229"/>
      <c r="AH323" s="238"/>
      <c r="AI323" s="240"/>
      <c r="AJ323" s="229"/>
      <c r="AK323" s="231"/>
      <c r="AL323" s="299"/>
      <c r="AM323" s="299"/>
      <c r="AN323" s="295"/>
      <c r="AO323" s="296"/>
      <c r="AP323" s="229"/>
      <c r="AQ323" s="300"/>
      <c r="AR323" s="278"/>
      <c r="AS323" s="277"/>
      <c r="AT323" s="229"/>
      <c r="AU323" s="229"/>
      <c r="AV323" s="229"/>
      <c r="AW323" s="5"/>
      <c r="AX323" s="5"/>
      <c r="AY323" s="5"/>
      <c r="AZ323" s="5"/>
      <c r="BA323" s="5"/>
      <c r="BB323" s="5"/>
      <c r="BC323" s="5"/>
      <c r="BD323" s="5"/>
      <c r="BE323" s="5"/>
      <c r="BF323" s="5"/>
      <c r="BG323" s="5"/>
    </row>
    <row r="324" customFormat="false" ht="15" hidden="false" customHeight="true" outlineLevel="0" collapsed="false">
      <c r="A324" s="35" t="s">
        <v>35</v>
      </c>
      <c r="B324" s="37"/>
      <c r="C324" s="38"/>
      <c r="D324" s="102"/>
      <c r="E324" s="318"/>
      <c r="F324" s="101"/>
      <c r="G324" s="40"/>
      <c r="H324" s="313"/>
      <c r="I324" s="42"/>
      <c r="J324" s="314"/>
      <c r="K324" s="317"/>
      <c r="L324" s="315"/>
      <c r="M324" s="315"/>
      <c r="N324" s="315"/>
      <c r="O324" s="315"/>
      <c r="P324" s="315"/>
      <c r="Q324" s="315"/>
      <c r="R324" s="315"/>
      <c r="S324" s="104" t="n">
        <f aca="false">SUM($J$324:$R$324)</f>
        <v>0</v>
      </c>
      <c r="T324" s="256"/>
      <c r="U324" s="222" t="s">
        <v>175</v>
      </c>
      <c r="V324" s="223" t="s">
        <v>474</v>
      </c>
      <c r="W324" s="224" t="n">
        <v>807</v>
      </c>
      <c r="X324" s="212"/>
      <c r="Y324" s="225"/>
      <c r="Z324" s="225"/>
      <c r="AA324" s="226" t="n">
        <v>236</v>
      </c>
      <c r="AB324" s="227" t="s">
        <v>475</v>
      </c>
      <c r="AC324" s="241" t="n">
        <v>77</v>
      </c>
      <c r="AD324" s="243" t="s">
        <v>476</v>
      </c>
      <c r="AE324" s="229"/>
      <c r="AF324" s="229"/>
      <c r="AG324" s="229"/>
      <c r="AH324" s="238"/>
      <c r="AI324" s="240"/>
      <c r="AJ324" s="229"/>
      <c r="AK324" s="231"/>
      <c r="AL324" s="299"/>
      <c r="AM324" s="299"/>
      <c r="AN324" s="295"/>
      <c r="AO324" s="296"/>
      <c r="AP324" s="229"/>
      <c r="AQ324" s="300"/>
      <c r="AR324" s="278"/>
      <c r="AS324" s="277"/>
      <c r="AT324" s="229"/>
      <c r="AU324" s="229"/>
      <c r="AV324" s="229"/>
      <c r="AW324" s="5"/>
      <c r="AX324" s="5"/>
      <c r="AY324" s="5"/>
      <c r="AZ324" s="5"/>
      <c r="BA324" s="5"/>
      <c r="BB324" s="5"/>
      <c r="BC324" s="5"/>
      <c r="BD324" s="5"/>
      <c r="BE324" s="5"/>
      <c r="BF324" s="5"/>
      <c r="BG324" s="5"/>
    </row>
    <row r="325" customFormat="false" ht="15" hidden="false" customHeight="true" outlineLevel="0" collapsed="false">
      <c r="A325" s="35" t="s">
        <v>36</v>
      </c>
      <c r="B325" s="37"/>
      <c r="C325" s="38"/>
      <c r="D325" s="102"/>
      <c r="E325" s="318"/>
      <c r="F325" s="101"/>
      <c r="G325" s="40"/>
      <c r="H325" s="313"/>
      <c r="I325" s="42"/>
      <c r="J325" s="314"/>
      <c r="K325" s="317"/>
      <c r="L325" s="315"/>
      <c r="M325" s="315"/>
      <c r="N325" s="315"/>
      <c r="O325" s="315"/>
      <c r="P325" s="315"/>
      <c r="Q325" s="315"/>
      <c r="R325" s="315"/>
      <c r="S325" s="104" t="n">
        <f aca="false">SUM($J$325:$R$325)</f>
        <v>0</v>
      </c>
      <c r="T325" s="256"/>
      <c r="U325" s="222" t="s">
        <v>175</v>
      </c>
      <c r="V325" s="223" t="s">
        <v>477</v>
      </c>
      <c r="W325" s="224" t="n">
        <v>808</v>
      </c>
      <c r="X325" s="212"/>
      <c r="Y325" s="225"/>
      <c r="Z325" s="225"/>
      <c r="AA325" s="226" t="n">
        <v>237</v>
      </c>
      <c r="AB325" s="227" t="s">
        <v>478</v>
      </c>
      <c r="AC325" s="241" t="n">
        <v>78</v>
      </c>
      <c r="AD325" s="243" t="s">
        <v>479</v>
      </c>
      <c r="AE325" s="229"/>
      <c r="AF325" s="229"/>
      <c r="AG325" s="229"/>
      <c r="AH325" s="238"/>
      <c r="AI325" s="240"/>
      <c r="AJ325" s="229"/>
      <c r="AK325" s="231"/>
      <c r="AL325" s="299"/>
      <c r="AM325" s="299"/>
      <c r="AN325" s="295"/>
      <c r="AO325" s="296"/>
      <c r="AP325" s="229"/>
      <c r="AQ325" s="300"/>
      <c r="AR325" s="278"/>
      <c r="AS325" s="277"/>
      <c r="AT325" s="229"/>
      <c r="AU325" s="229"/>
      <c r="AV325" s="229"/>
      <c r="AW325" s="5"/>
      <c r="AX325" s="5"/>
      <c r="AY325" s="5"/>
      <c r="AZ325" s="5"/>
      <c r="BA325" s="5"/>
      <c r="BB325" s="5"/>
      <c r="BC325" s="5"/>
      <c r="BD325" s="5"/>
      <c r="BE325" s="5"/>
      <c r="BF325" s="5"/>
      <c r="BG325" s="5"/>
    </row>
    <row r="326" customFormat="false" ht="15" hidden="false" customHeight="true" outlineLevel="0" collapsed="false">
      <c r="A326" s="35" t="s">
        <v>37</v>
      </c>
      <c r="B326" s="37"/>
      <c r="C326" s="38"/>
      <c r="D326" s="102"/>
      <c r="E326" s="320"/>
      <c r="F326" s="101"/>
      <c r="G326" s="40"/>
      <c r="H326" s="321"/>
      <c r="I326" s="49"/>
      <c r="J326" s="322"/>
      <c r="K326" s="323"/>
      <c r="L326" s="324"/>
      <c r="M326" s="324"/>
      <c r="N326" s="324"/>
      <c r="O326" s="324"/>
      <c r="P326" s="324"/>
      <c r="Q326" s="324"/>
      <c r="R326" s="324"/>
      <c r="S326" s="104" t="n">
        <f aca="false">SUM($J$326:$R$326)</f>
        <v>0</v>
      </c>
      <c r="T326" s="256"/>
      <c r="U326" s="222" t="s">
        <v>175</v>
      </c>
      <c r="V326" s="223" t="s">
        <v>480</v>
      </c>
      <c r="W326" s="224" t="n">
        <v>809</v>
      </c>
      <c r="X326" s="212"/>
      <c r="Y326" s="225"/>
      <c r="Z326" s="225"/>
      <c r="AA326" s="226" t="n">
        <v>238</v>
      </c>
      <c r="AB326" s="227" t="s">
        <v>481</v>
      </c>
      <c r="AC326" s="241" t="n">
        <v>79</v>
      </c>
      <c r="AD326" s="243" t="s">
        <v>482</v>
      </c>
      <c r="AE326" s="229"/>
      <c r="AF326" s="229"/>
      <c r="AG326" s="229"/>
      <c r="AH326" s="238"/>
      <c r="AI326" s="240"/>
      <c r="AJ326" s="229"/>
      <c r="AK326" s="231"/>
      <c r="AL326" s="299"/>
      <c r="AM326" s="299"/>
      <c r="AN326" s="295"/>
      <c r="AO326" s="296"/>
      <c r="AP326" s="229"/>
      <c r="AQ326" s="300"/>
      <c r="AR326" s="278"/>
      <c r="AS326" s="277"/>
      <c r="AT326" s="229"/>
      <c r="AU326" s="229"/>
      <c r="AV326" s="229"/>
      <c r="AW326" s="5"/>
      <c r="AX326" s="5"/>
      <c r="AY326" s="5"/>
      <c r="AZ326" s="5"/>
      <c r="BA326" s="5"/>
      <c r="BB326" s="5"/>
      <c r="BC326" s="5"/>
      <c r="BD326" s="5"/>
      <c r="BE326" s="5"/>
      <c r="BF326" s="5"/>
      <c r="BG326" s="5"/>
    </row>
    <row r="327" customFormat="false" ht="15" hidden="false" customHeight="true" outlineLevel="0" collapsed="false">
      <c r="A327" s="325" t="s">
        <v>17</v>
      </c>
      <c r="B327" s="326" t="s">
        <v>483</v>
      </c>
      <c r="C327" s="326"/>
      <c r="D327" s="326"/>
      <c r="E327" s="326"/>
      <c r="F327" s="326"/>
      <c r="G327" s="326"/>
      <c r="H327" s="326"/>
      <c r="I327" s="327"/>
      <c r="J327" s="328" t="n">
        <f aca="false">SUM(J308:J317)</f>
        <v>0</v>
      </c>
      <c r="K327" s="329" t="n">
        <f aca="false">SUM(K308:K317)</f>
        <v>0</v>
      </c>
      <c r="L327" s="329" t="n">
        <f aca="false">SUM(L308:L317)</f>
        <v>0</v>
      </c>
      <c r="M327" s="329" t="n">
        <f aca="false">SUM(M308:M317)</f>
        <v>0</v>
      </c>
      <c r="N327" s="329" t="n">
        <f aca="false">SUM(N308:N317)</f>
        <v>0</v>
      </c>
      <c r="O327" s="329" t="n">
        <f aca="false">SUM(O308:O317)</f>
        <v>0</v>
      </c>
      <c r="P327" s="329" t="n">
        <f aca="false">SUM(P308:P317)</f>
        <v>0</v>
      </c>
      <c r="Q327" s="329" t="n">
        <f aca="false">SUM(Q308:Q317)</f>
        <v>0</v>
      </c>
      <c r="R327" s="330" t="n">
        <f aca="false">SUM(R308:R317)</f>
        <v>0</v>
      </c>
      <c r="S327" s="95" t="n">
        <f aca="false">SUM(J327:R327)</f>
        <v>0</v>
      </c>
      <c r="T327" s="256"/>
      <c r="U327" s="222" t="s">
        <v>175</v>
      </c>
      <c r="V327" s="223" t="s">
        <v>314</v>
      </c>
      <c r="W327" s="224" t="n">
        <v>810</v>
      </c>
      <c r="X327" s="212"/>
      <c r="Y327" s="225"/>
      <c r="Z327" s="225"/>
      <c r="AA327" s="226" t="n">
        <v>239</v>
      </c>
      <c r="AB327" s="227" t="s">
        <v>484</v>
      </c>
      <c r="AC327" s="241" t="n">
        <v>80</v>
      </c>
      <c r="AD327" s="243" t="s">
        <v>485</v>
      </c>
      <c r="AE327" s="229"/>
      <c r="AF327" s="229"/>
      <c r="AG327" s="229"/>
      <c r="AH327" s="238"/>
      <c r="AI327" s="240"/>
      <c r="AJ327" s="229"/>
      <c r="AK327" s="231"/>
      <c r="AL327" s="299"/>
      <c r="AM327" s="299"/>
      <c r="AN327" s="295"/>
      <c r="AO327" s="296"/>
      <c r="AP327" s="229"/>
      <c r="AQ327" s="300"/>
      <c r="AR327" s="278"/>
      <c r="AS327" s="277"/>
      <c r="AT327" s="229"/>
      <c r="AU327" s="229"/>
      <c r="AV327" s="229"/>
      <c r="AW327" s="5"/>
      <c r="AX327" s="5"/>
      <c r="AY327" s="5"/>
      <c r="AZ327" s="5"/>
      <c r="BA327" s="5"/>
      <c r="BB327" s="5"/>
      <c r="BC327" s="5"/>
      <c r="BD327" s="5"/>
      <c r="BE327" s="5"/>
      <c r="BF327" s="5"/>
      <c r="BG327" s="5"/>
    </row>
    <row r="328" customFormat="false" ht="15" hidden="false" customHeight="true" outlineLevel="0" collapsed="false">
      <c r="A328" s="331" t="s">
        <v>120</v>
      </c>
      <c r="B328" s="332"/>
      <c r="C328" s="332"/>
      <c r="D328" s="332"/>
      <c r="E328" s="332"/>
      <c r="F328" s="332"/>
      <c r="G328" s="332"/>
      <c r="H328" s="332"/>
      <c r="I328" s="332"/>
      <c r="J328" s="332"/>
      <c r="K328" s="332"/>
      <c r="L328" s="333"/>
      <c r="M328" s="332"/>
      <c r="N328" s="332"/>
      <c r="O328" s="332"/>
      <c r="P328" s="332"/>
      <c r="Q328" s="332"/>
      <c r="R328" s="332"/>
      <c r="S328" s="332"/>
      <c r="T328" s="256"/>
      <c r="U328" s="222" t="s">
        <v>175</v>
      </c>
      <c r="V328" s="223" t="s">
        <v>486</v>
      </c>
      <c r="W328" s="224" t="n">
        <v>811</v>
      </c>
      <c r="X328" s="212"/>
      <c r="Y328" s="225"/>
      <c r="Z328" s="225"/>
      <c r="AA328" s="226" t="n">
        <v>240</v>
      </c>
      <c r="AB328" s="227" t="s">
        <v>487</v>
      </c>
      <c r="AC328" s="241" t="n">
        <v>81</v>
      </c>
      <c r="AD328" s="243" t="s">
        <v>488</v>
      </c>
      <c r="AE328" s="229"/>
      <c r="AF328" s="229"/>
      <c r="AG328" s="229"/>
      <c r="AH328" s="238"/>
      <c r="AI328" s="240"/>
      <c r="AJ328" s="229"/>
      <c r="AK328" s="231"/>
      <c r="AL328" s="299"/>
      <c r="AM328" s="299"/>
      <c r="AN328" s="295"/>
      <c r="AO328" s="296"/>
      <c r="AP328" s="229"/>
      <c r="AQ328" s="300"/>
      <c r="AR328" s="278"/>
      <c r="AS328" s="277"/>
      <c r="AT328" s="229"/>
      <c r="AU328" s="229"/>
      <c r="AV328" s="229"/>
      <c r="AW328" s="5"/>
      <c r="AX328" s="5"/>
      <c r="AY328" s="5"/>
      <c r="AZ328" s="5"/>
      <c r="BA328" s="5"/>
      <c r="BB328" s="5"/>
      <c r="BC328" s="5"/>
      <c r="BD328" s="5"/>
      <c r="BE328" s="5"/>
      <c r="BF328" s="5"/>
      <c r="BG328" s="5"/>
    </row>
    <row r="329" customFormat="false" ht="15" hidden="false" customHeight="true" outlineLevel="0" collapsed="false">
      <c r="A329" s="218" t="s">
        <v>489</v>
      </c>
      <c r="B329" s="220"/>
      <c r="C329" s="220"/>
      <c r="D329" s="220"/>
      <c r="E329" s="220"/>
      <c r="F329" s="220"/>
      <c r="G329" s="220"/>
      <c r="H329" s="220"/>
      <c r="I329" s="220"/>
      <c r="J329" s="220"/>
      <c r="K329" s="220"/>
      <c r="L329" s="219"/>
      <c r="M329" s="220"/>
      <c r="N329" s="220"/>
      <c r="O329" s="220"/>
      <c r="P329" s="220"/>
      <c r="Q329" s="220"/>
      <c r="R329" s="220"/>
      <c r="S329" s="220"/>
      <c r="T329" s="256"/>
      <c r="U329" s="222" t="s">
        <v>175</v>
      </c>
      <c r="V329" s="223" t="s">
        <v>490</v>
      </c>
      <c r="W329" s="224" t="n">
        <v>813</v>
      </c>
      <c r="X329" s="212"/>
      <c r="Y329" s="225"/>
      <c r="Z329" s="225"/>
      <c r="AA329" s="226" t="n">
        <v>242</v>
      </c>
      <c r="AB329" s="227" t="s">
        <v>491</v>
      </c>
      <c r="AC329" s="241" t="n">
        <v>83</v>
      </c>
      <c r="AD329" s="243" t="s">
        <v>492</v>
      </c>
      <c r="AE329" s="229"/>
      <c r="AF329" s="229"/>
      <c r="AG329" s="229"/>
      <c r="AH329" s="238"/>
      <c r="AI329" s="240"/>
      <c r="AJ329" s="229"/>
      <c r="AK329" s="231"/>
      <c r="AL329" s="299"/>
      <c r="AM329" s="299"/>
      <c r="AN329" s="295"/>
      <c r="AO329" s="296"/>
      <c r="AP329" s="229"/>
      <c r="AQ329" s="300"/>
      <c r="AR329" s="278"/>
      <c r="AS329" s="277"/>
      <c r="AT329" s="229"/>
      <c r="AU329" s="229"/>
      <c r="AV329" s="229"/>
      <c r="AW329" s="5"/>
      <c r="AX329" s="5"/>
      <c r="AY329" s="5"/>
      <c r="AZ329" s="5"/>
      <c r="BA329" s="5"/>
      <c r="BB329" s="5"/>
      <c r="BC329" s="5"/>
      <c r="BD329" s="5"/>
      <c r="BE329" s="5"/>
      <c r="BF329" s="5"/>
      <c r="BG329" s="5"/>
    </row>
    <row r="330" customFormat="false" ht="15" hidden="false" customHeight="true" outlineLevel="0" collapsed="false">
      <c r="A330" s="218" t="s">
        <v>493</v>
      </c>
      <c r="B330" s="220"/>
      <c r="C330" s="220"/>
      <c r="D330" s="220"/>
      <c r="E330" s="220"/>
      <c r="F330" s="220"/>
      <c r="G330" s="220"/>
      <c r="H330" s="220"/>
      <c r="I330" s="220"/>
      <c r="J330" s="220"/>
      <c r="K330" s="220"/>
      <c r="L330" s="219"/>
      <c r="M330" s="220"/>
      <c r="N330" s="220"/>
      <c r="O330" s="220"/>
      <c r="P330" s="220"/>
      <c r="Q330" s="220"/>
      <c r="R330" s="220"/>
      <c r="S330" s="220"/>
      <c r="T330" s="218"/>
      <c r="U330" s="222" t="s">
        <v>175</v>
      </c>
      <c r="V330" s="223" t="s">
        <v>494</v>
      </c>
      <c r="W330" s="224" t="n">
        <v>814</v>
      </c>
      <c r="X330" s="212"/>
      <c r="Y330" s="225"/>
      <c r="Z330" s="225"/>
      <c r="AA330" s="226" t="n">
        <v>243</v>
      </c>
      <c r="AB330" s="227" t="s">
        <v>495</v>
      </c>
      <c r="AC330" s="241" t="n">
        <v>84</v>
      </c>
      <c r="AD330" s="243" t="s">
        <v>496</v>
      </c>
      <c r="AE330" s="229"/>
      <c r="AF330" s="229"/>
      <c r="AG330" s="229"/>
      <c r="AH330" s="238"/>
      <c r="AI330" s="240"/>
      <c r="AJ330" s="229"/>
      <c r="AK330" s="231"/>
      <c r="AL330" s="299"/>
      <c r="AM330" s="299"/>
      <c r="AN330" s="295"/>
      <c r="AO330" s="296"/>
      <c r="AP330" s="229"/>
      <c r="AQ330" s="300"/>
      <c r="AR330" s="278"/>
      <c r="AS330" s="277"/>
      <c r="AT330" s="229"/>
      <c r="AU330" s="229"/>
      <c r="AV330" s="229"/>
      <c r="AW330" s="5"/>
      <c r="AX330" s="5"/>
      <c r="AY330" s="5"/>
      <c r="AZ330" s="5"/>
      <c r="BA330" s="5"/>
      <c r="BB330" s="5"/>
      <c r="BC330" s="5"/>
      <c r="BD330" s="5"/>
      <c r="BE330" s="5"/>
      <c r="BF330" s="5"/>
      <c r="BG330" s="5"/>
    </row>
    <row r="331" customFormat="false" ht="15" hidden="false" customHeight="true" outlineLevel="0" collapsed="false">
      <c r="A331" s="334"/>
      <c r="B331" s="220"/>
      <c r="C331" s="220"/>
      <c r="D331" s="220"/>
      <c r="E331" s="220"/>
      <c r="F331" s="220"/>
      <c r="G331" s="220"/>
      <c r="H331" s="220"/>
      <c r="I331" s="220"/>
      <c r="J331" s="220"/>
      <c r="K331" s="220"/>
      <c r="L331" s="219"/>
      <c r="M331" s="220"/>
      <c r="N331" s="220"/>
      <c r="O331" s="220"/>
      <c r="P331" s="220"/>
      <c r="Q331" s="220"/>
      <c r="R331" s="220"/>
      <c r="S331" s="220"/>
      <c r="T331" s="220"/>
      <c r="U331" s="222" t="s">
        <v>175</v>
      </c>
      <c r="V331" s="223" t="s">
        <v>319</v>
      </c>
      <c r="W331" s="224" t="n">
        <v>816</v>
      </c>
      <c r="X331" s="212"/>
      <c r="Y331" s="225"/>
      <c r="Z331" s="225"/>
      <c r="AA331" s="226" t="n">
        <v>245</v>
      </c>
      <c r="AB331" s="227" t="s">
        <v>497</v>
      </c>
      <c r="AC331" s="241" t="n">
        <v>86</v>
      </c>
      <c r="AD331" s="243" t="s">
        <v>498</v>
      </c>
      <c r="AE331" s="229"/>
      <c r="AF331" s="229"/>
      <c r="AG331" s="229"/>
      <c r="AH331" s="238"/>
      <c r="AI331" s="240"/>
      <c r="AJ331" s="229"/>
      <c r="AK331" s="231"/>
      <c r="AL331" s="299"/>
      <c r="AM331" s="299"/>
      <c r="AN331" s="295"/>
      <c r="AO331" s="296"/>
      <c r="AP331" s="229"/>
      <c r="AQ331" s="300"/>
      <c r="AR331" s="278"/>
      <c r="AS331" s="277"/>
      <c r="AT331" s="229"/>
      <c r="AU331" s="229"/>
      <c r="AV331" s="229"/>
      <c r="AW331" s="5"/>
      <c r="AX331" s="5"/>
      <c r="AY331" s="5"/>
      <c r="AZ331" s="5"/>
      <c r="BA331" s="5"/>
      <c r="BB331" s="5"/>
      <c r="BC331" s="5"/>
      <c r="BD331" s="5"/>
      <c r="BE331" s="5"/>
      <c r="BF331" s="5"/>
      <c r="BG331" s="5"/>
    </row>
    <row r="332" customFormat="false" ht="15" hidden="false" customHeight="true" outlineLevel="0" collapsed="false">
      <c r="A332" s="291" t="s">
        <v>499</v>
      </c>
      <c r="B332" s="335"/>
      <c r="C332" s="335"/>
      <c r="D332" s="220"/>
      <c r="E332" s="220"/>
      <c r="F332" s="220"/>
      <c r="G332" s="220"/>
      <c r="H332" s="220"/>
      <c r="I332" s="220"/>
      <c r="J332" s="220"/>
      <c r="K332" s="220"/>
      <c r="L332" s="219"/>
      <c r="M332" s="220"/>
      <c r="N332" s="220"/>
      <c r="O332" s="220"/>
      <c r="P332" s="220"/>
      <c r="Q332" s="220"/>
      <c r="R332" s="220"/>
      <c r="S332" s="220"/>
      <c r="T332" s="220"/>
      <c r="U332" s="222" t="s">
        <v>175</v>
      </c>
      <c r="V332" s="223" t="s">
        <v>500</v>
      </c>
      <c r="W332" s="224" t="n">
        <v>817</v>
      </c>
      <c r="X332" s="212"/>
      <c r="Y332" s="225"/>
      <c r="Z332" s="225"/>
      <c r="AA332" s="226" t="n">
        <v>246</v>
      </c>
      <c r="AB332" s="227" t="s">
        <v>501</v>
      </c>
      <c r="AC332" s="241" t="n">
        <v>87</v>
      </c>
      <c r="AD332" s="243" t="s">
        <v>502</v>
      </c>
      <c r="AE332" s="229"/>
      <c r="AF332" s="229"/>
      <c r="AG332" s="229"/>
      <c r="AH332" s="238"/>
      <c r="AI332" s="240"/>
      <c r="AJ332" s="229"/>
      <c r="AK332" s="231"/>
      <c r="AL332" s="299"/>
      <c r="AM332" s="299"/>
      <c r="AN332" s="295"/>
      <c r="AO332" s="296"/>
      <c r="AP332" s="229"/>
      <c r="AQ332" s="300"/>
      <c r="AR332" s="278"/>
      <c r="AS332" s="277"/>
      <c r="AT332" s="229"/>
      <c r="AU332" s="229"/>
      <c r="AV332" s="229"/>
      <c r="AW332" s="5"/>
      <c r="AX332" s="5"/>
      <c r="AY332" s="5"/>
      <c r="AZ332" s="5"/>
      <c r="BA332" s="5"/>
      <c r="BB332" s="5"/>
      <c r="BC332" s="5"/>
      <c r="BD332" s="5"/>
      <c r="BE332" s="5"/>
      <c r="BF332" s="5"/>
      <c r="BG332" s="5"/>
    </row>
    <row r="333" customFormat="false" ht="15" hidden="false" customHeight="true" outlineLevel="0" collapsed="false">
      <c r="A333" s="88" t="s">
        <v>3</v>
      </c>
      <c r="B333" s="89" t="s">
        <v>5</v>
      </c>
      <c r="C333" s="89"/>
      <c r="D333" s="88" t="s">
        <v>6</v>
      </c>
      <c r="E333" s="88" t="s">
        <v>82</v>
      </c>
      <c r="F333" s="88" t="s">
        <v>108</v>
      </c>
      <c r="G333" s="88" t="s">
        <v>503</v>
      </c>
      <c r="H333" s="88" t="s">
        <v>10</v>
      </c>
      <c r="I333" s="88" t="s">
        <v>84</v>
      </c>
      <c r="J333" s="88"/>
      <c r="K333" s="88"/>
      <c r="L333" s="88" t="s">
        <v>85</v>
      </c>
      <c r="M333" s="88"/>
      <c r="N333" s="88"/>
      <c r="O333" s="220"/>
      <c r="P333" s="220"/>
      <c r="Q333" s="220"/>
      <c r="R333" s="220"/>
      <c r="S333" s="220"/>
      <c r="T333" s="300"/>
      <c r="U333" s="223" t="s">
        <v>504</v>
      </c>
      <c r="V333" s="224" t="n">
        <v>818</v>
      </c>
      <c r="W333" s="212"/>
      <c r="X333" s="225"/>
      <c r="Y333" s="225"/>
      <c r="Z333" s="226" t="n">
        <v>247</v>
      </c>
      <c r="AA333" s="227" t="s">
        <v>505</v>
      </c>
      <c r="AB333" s="241" t="n">
        <v>88</v>
      </c>
      <c r="AC333" s="243" t="s">
        <v>506</v>
      </c>
      <c r="AD333" s="241"/>
      <c r="AE333" s="229"/>
      <c r="AF333" s="229"/>
      <c r="AG333" s="238"/>
      <c r="AH333" s="240"/>
      <c r="AI333" s="229"/>
      <c r="AJ333" s="231"/>
      <c r="AK333" s="299"/>
      <c r="AL333" s="299"/>
      <c r="AM333" s="295"/>
      <c r="AN333" s="296"/>
      <c r="AO333" s="229"/>
      <c r="AP333" s="300"/>
      <c r="AQ333" s="278"/>
      <c r="AR333" s="277"/>
      <c r="AS333" s="229"/>
      <c r="AT333" s="229"/>
      <c r="AU333" s="229"/>
      <c r="AV333" s="5"/>
      <c r="AW333" s="5"/>
      <c r="AX333" s="5"/>
      <c r="AY333" s="5"/>
      <c r="AZ333" s="5"/>
      <c r="BA333" s="5"/>
      <c r="BB333" s="5"/>
      <c r="BC333" s="5"/>
      <c r="BD333" s="5"/>
      <c r="BE333" s="5"/>
      <c r="BF333" s="5"/>
      <c r="BG333" s="5"/>
    </row>
    <row r="334" customFormat="false" ht="15" hidden="false" customHeight="true" outlineLevel="0" collapsed="false">
      <c r="A334" s="88"/>
      <c r="B334" s="89" t="s">
        <v>102</v>
      </c>
      <c r="C334" s="94" t="s">
        <v>103</v>
      </c>
      <c r="D334" s="88"/>
      <c r="E334" s="88"/>
      <c r="F334" s="88"/>
      <c r="G334" s="88"/>
      <c r="H334" s="88"/>
      <c r="I334" s="88" t="s">
        <v>15</v>
      </c>
      <c r="J334" s="90" t="s">
        <v>16</v>
      </c>
      <c r="K334" s="95" t="s">
        <v>17</v>
      </c>
      <c r="L334" s="88" t="s">
        <v>15</v>
      </c>
      <c r="M334" s="90" t="s">
        <v>16</v>
      </c>
      <c r="N334" s="95" t="s">
        <v>17</v>
      </c>
      <c r="O334" s="220"/>
      <c r="P334" s="220"/>
      <c r="Q334" s="220"/>
      <c r="R334" s="220"/>
      <c r="S334" s="220"/>
      <c r="T334" s="300"/>
      <c r="U334" s="223" t="s">
        <v>507</v>
      </c>
      <c r="V334" s="224" t="n">
        <v>819</v>
      </c>
      <c r="W334" s="212"/>
      <c r="X334" s="225" t="n">
        <v>3</v>
      </c>
      <c r="Y334" s="225" t="s">
        <v>508</v>
      </c>
      <c r="Z334" s="226" t="n">
        <v>301</v>
      </c>
      <c r="AA334" s="227" t="s">
        <v>509</v>
      </c>
      <c r="AB334" s="241" t="n">
        <v>89</v>
      </c>
      <c r="AC334" s="243" t="s">
        <v>510</v>
      </c>
      <c r="AD334" s="241"/>
      <c r="AE334" s="229"/>
      <c r="AF334" s="229"/>
      <c r="AG334" s="238"/>
      <c r="AH334" s="240"/>
      <c r="AI334" s="229"/>
      <c r="AJ334" s="231"/>
      <c r="AK334" s="299"/>
      <c r="AL334" s="299"/>
      <c r="AM334" s="295"/>
      <c r="AN334" s="296"/>
      <c r="AO334" s="229"/>
      <c r="AP334" s="300"/>
      <c r="AQ334" s="278"/>
      <c r="AR334" s="277"/>
      <c r="AS334" s="229"/>
      <c r="AT334" s="229"/>
      <c r="AU334" s="229"/>
      <c r="AV334" s="5"/>
      <c r="AW334" s="5"/>
      <c r="AX334" s="5"/>
      <c r="AY334" s="5"/>
      <c r="AZ334" s="5"/>
      <c r="BA334" s="5"/>
      <c r="BB334" s="5"/>
      <c r="BC334" s="5"/>
      <c r="BD334" s="5"/>
      <c r="BE334" s="5"/>
      <c r="BF334" s="5"/>
      <c r="BG334" s="5"/>
    </row>
    <row r="335" customFormat="false" ht="15" hidden="false" customHeight="true" outlineLevel="0" collapsed="false">
      <c r="A335" s="22" t="s">
        <v>19</v>
      </c>
      <c r="B335" s="24"/>
      <c r="C335" s="25"/>
      <c r="D335" s="97"/>
      <c r="E335" s="96"/>
      <c r="F335" s="27"/>
      <c r="G335" s="23"/>
      <c r="H335" s="336"/>
      <c r="I335" s="97"/>
      <c r="J335" s="98"/>
      <c r="K335" s="99" t="n">
        <f aca="false">$I$335+$J$335</f>
        <v>0</v>
      </c>
      <c r="L335" s="97" t="n">
        <v>0</v>
      </c>
      <c r="M335" s="98" t="n">
        <v>0</v>
      </c>
      <c r="N335" s="99" t="n">
        <f aca="false">$L$335+$M$335</f>
        <v>0</v>
      </c>
      <c r="O335" s="220"/>
      <c r="P335" s="220"/>
      <c r="Q335" s="220"/>
      <c r="R335" s="220"/>
      <c r="S335" s="220"/>
      <c r="T335" s="300"/>
      <c r="U335" s="223" t="s">
        <v>511</v>
      </c>
      <c r="V335" s="224" t="n">
        <v>820</v>
      </c>
      <c r="W335" s="212"/>
      <c r="X335" s="225"/>
      <c r="Y335" s="225"/>
      <c r="Z335" s="226" t="n">
        <v>302</v>
      </c>
      <c r="AA335" s="227" t="s">
        <v>512</v>
      </c>
      <c r="AB335" s="241" t="n">
        <v>90</v>
      </c>
      <c r="AC335" s="243" t="s">
        <v>513</v>
      </c>
      <c r="AD335" s="241"/>
      <c r="AE335" s="229"/>
      <c r="AF335" s="229"/>
      <c r="AG335" s="238"/>
      <c r="AH335" s="240"/>
      <c r="AI335" s="229"/>
      <c r="AJ335" s="231"/>
      <c r="AK335" s="299"/>
      <c r="AL335" s="299"/>
      <c r="AM335" s="295"/>
      <c r="AN335" s="296"/>
      <c r="AO335" s="229"/>
      <c r="AP335" s="300"/>
      <c r="AQ335" s="278"/>
      <c r="AR335" s="277"/>
      <c r="AS335" s="229"/>
      <c r="AT335" s="229"/>
      <c r="AU335" s="229"/>
      <c r="AV335" s="5"/>
      <c r="AW335" s="5"/>
      <c r="AX335" s="5"/>
      <c r="AY335" s="5"/>
      <c r="AZ335" s="5"/>
      <c r="BA335" s="5"/>
      <c r="BB335" s="5"/>
      <c r="BC335" s="5"/>
      <c r="BD335" s="5"/>
      <c r="BE335" s="5"/>
      <c r="BF335" s="5"/>
      <c r="BG335" s="5"/>
    </row>
    <row r="336" customFormat="false" ht="15" hidden="false" customHeight="true" outlineLevel="0" collapsed="false">
      <c r="A336" s="35" t="s">
        <v>20</v>
      </c>
      <c r="B336" s="37"/>
      <c r="C336" s="38"/>
      <c r="D336" s="102"/>
      <c r="E336" s="101"/>
      <c r="F336" s="40"/>
      <c r="G336" s="36"/>
      <c r="H336" s="337"/>
      <c r="I336" s="102"/>
      <c r="J336" s="103"/>
      <c r="K336" s="104" t="n">
        <f aca="false">$I$336+$J$336</f>
        <v>0</v>
      </c>
      <c r="L336" s="102" t="n">
        <v>0</v>
      </c>
      <c r="M336" s="103" t="n">
        <v>0</v>
      </c>
      <c r="N336" s="104" t="n">
        <f aca="false">$L$336+$M$336</f>
        <v>0</v>
      </c>
      <c r="O336" s="220"/>
      <c r="P336" s="220"/>
      <c r="Q336" s="220"/>
      <c r="R336" s="220"/>
      <c r="S336" s="220"/>
      <c r="T336" s="300"/>
      <c r="U336" s="223" t="s">
        <v>514</v>
      </c>
      <c r="V336" s="224" t="n">
        <v>821</v>
      </c>
      <c r="W336" s="212"/>
      <c r="X336" s="225"/>
      <c r="Y336" s="225"/>
      <c r="Z336" s="226" t="n">
        <v>303</v>
      </c>
      <c r="AA336" s="227" t="s">
        <v>515</v>
      </c>
      <c r="AB336" s="241" t="n">
        <v>91</v>
      </c>
      <c r="AC336" s="243" t="s">
        <v>516</v>
      </c>
      <c r="AD336" s="241"/>
      <c r="AE336" s="229"/>
      <c r="AF336" s="229"/>
      <c r="AG336" s="238"/>
      <c r="AH336" s="240"/>
      <c r="AI336" s="229"/>
      <c r="AJ336" s="231"/>
      <c r="AK336" s="299"/>
      <c r="AL336" s="299"/>
      <c r="AM336" s="295"/>
      <c r="AN336" s="296"/>
      <c r="AO336" s="229"/>
      <c r="AP336" s="300"/>
      <c r="AQ336" s="278"/>
      <c r="AR336" s="277"/>
      <c r="AS336" s="229"/>
      <c r="AT336" s="229"/>
      <c r="AU336" s="229"/>
      <c r="AV336" s="5"/>
      <c r="AW336" s="5"/>
      <c r="AX336" s="5"/>
      <c r="AY336" s="5"/>
      <c r="AZ336" s="5"/>
      <c r="BA336" s="5"/>
      <c r="BB336" s="5"/>
      <c r="BC336" s="5"/>
      <c r="BD336" s="5"/>
      <c r="BE336" s="5"/>
      <c r="BF336" s="5"/>
      <c r="BG336" s="5"/>
    </row>
    <row r="337" customFormat="false" ht="15" hidden="false" customHeight="true" outlineLevel="0" collapsed="false">
      <c r="A337" s="35" t="s">
        <v>21</v>
      </c>
      <c r="B337" s="37"/>
      <c r="C337" s="38"/>
      <c r="D337" s="102"/>
      <c r="E337" s="101"/>
      <c r="F337" s="40"/>
      <c r="G337" s="36"/>
      <c r="H337" s="337"/>
      <c r="I337" s="102"/>
      <c r="J337" s="103"/>
      <c r="K337" s="104" t="n">
        <f aca="false">$I$337+$J$337</f>
        <v>0</v>
      </c>
      <c r="L337" s="102" t="n">
        <v>0</v>
      </c>
      <c r="M337" s="103" t="n">
        <v>0</v>
      </c>
      <c r="N337" s="104" t="n">
        <f aca="false">$L$337+$M$337</f>
        <v>0</v>
      </c>
      <c r="O337" s="220"/>
      <c r="P337" s="220"/>
      <c r="Q337" s="220"/>
      <c r="R337" s="220"/>
      <c r="S337" s="220"/>
      <c r="T337" s="300"/>
      <c r="U337" s="223" t="s">
        <v>324</v>
      </c>
      <c r="V337" s="224" t="n">
        <v>822</v>
      </c>
      <c r="W337" s="212"/>
      <c r="X337" s="225"/>
      <c r="Y337" s="225"/>
      <c r="Z337" s="226" t="n">
        <v>304</v>
      </c>
      <c r="AA337" s="227" t="s">
        <v>517</v>
      </c>
      <c r="AB337" s="241" t="n">
        <v>92</v>
      </c>
      <c r="AC337" s="243" t="s">
        <v>518</v>
      </c>
      <c r="AD337" s="241"/>
      <c r="AE337" s="229"/>
      <c r="AF337" s="229"/>
      <c r="AG337" s="238"/>
      <c r="AH337" s="240"/>
      <c r="AI337" s="229"/>
      <c r="AJ337" s="231"/>
      <c r="AK337" s="299"/>
      <c r="AL337" s="299"/>
      <c r="AM337" s="295"/>
      <c r="AN337" s="296"/>
      <c r="AO337" s="229"/>
      <c r="AP337" s="300"/>
      <c r="AQ337" s="278"/>
      <c r="AR337" s="277"/>
      <c r="AS337" s="229"/>
      <c r="AT337" s="229"/>
      <c r="AU337" s="229"/>
      <c r="AV337" s="5"/>
      <c r="AW337" s="5"/>
      <c r="AX337" s="5"/>
      <c r="AY337" s="5"/>
      <c r="AZ337" s="5"/>
      <c r="BA337" s="5"/>
      <c r="BB337" s="5"/>
      <c r="BC337" s="5"/>
      <c r="BD337" s="5"/>
      <c r="BE337" s="5"/>
      <c r="BF337" s="5"/>
      <c r="BG337" s="5"/>
    </row>
    <row r="338" customFormat="false" ht="15" hidden="false" customHeight="true" outlineLevel="0" collapsed="false">
      <c r="A338" s="35" t="s">
        <v>22</v>
      </c>
      <c r="B338" s="37"/>
      <c r="C338" s="38"/>
      <c r="D338" s="102"/>
      <c r="E338" s="101"/>
      <c r="F338" s="40"/>
      <c r="G338" s="36"/>
      <c r="H338" s="337"/>
      <c r="I338" s="102"/>
      <c r="J338" s="103"/>
      <c r="K338" s="104" t="n">
        <f aca="false">$I$338+$J$338</f>
        <v>0</v>
      </c>
      <c r="L338" s="102" t="n">
        <v>0</v>
      </c>
      <c r="M338" s="103" t="n">
        <v>0</v>
      </c>
      <c r="N338" s="104" t="n">
        <f aca="false">$L$338+$M$338</f>
        <v>0</v>
      </c>
      <c r="O338" s="220"/>
      <c r="P338" s="220"/>
      <c r="Q338" s="220"/>
      <c r="R338" s="220"/>
      <c r="S338" s="220"/>
      <c r="T338" s="300"/>
      <c r="U338" s="223" t="s">
        <v>519</v>
      </c>
      <c r="V338" s="224" t="n">
        <v>901</v>
      </c>
      <c r="W338" s="212"/>
      <c r="X338" s="225"/>
      <c r="Y338" s="225"/>
      <c r="Z338" s="226" t="n">
        <v>305</v>
      </c>
      <c r="AA338" s="227" t="s">
        <v>520</v>
      </c>
      <c r="AB338" s="241" t="n">
        <v>93</v>
      </c>
      <c r="AC338" s="243" t="s">
        <v>521</v>
      </c>
      <c r="AD338" s="241"/>
      <c r="AE338" s="229"/>
      <c r="AF338" s="229"/>
      <c r="AG338" s="238"/>
      <c r="AH338" s="240"/>
      <c r="AI338" s="229"/>
      <c r="AJ338" s="231"/>
      <c r="AK338" s="299"/>
      <c r="AL338" s="299"/>
      <c r="AM338" s="295"/>
      <c r="AN338" s="296"/>
      <c r="AO338" s="229"/>
      <c r="AP338" s="300"/>
      <c r="AQ338" s="278"/>
      <c r="AR338" s="277"/>
      <c r="AS338" s="229"/>
      <c r="AT338" s="229"/>
      <c r="AU338" s="229"/>
      <c r="AV338" s="5"/>
      <c r="AW338" s="5"/>
      <c r="AX338" s="5"/>
      <c r="AY338" s="5"/>
      <c r="AZ338" s="5"/>
      <c r="BA338" s="5"/>
      <c r="BB338" s="5"/>
      <c r="BC338" s="5"/>
      <c r="BD338" s="5"/>
      <c r="BE338" s="5"/>
      <c r="BF338" s="5"/>
      <c r="BG338" s="5"/>
    </row>
    <row r="339" customFormat="false" ht="15" hidden="false" customHeight="true" outlineLevel="0" collapsed="false">
      <c r="A339" s="35" t="s">
        <v>23</v>
      </c>
      <c r="B339" s="37"/>
      <c r="C339" s="38"/>
      <c r="D339" s="102"/>
      <c r="E339" s="101"/>
      <c r="F339" s="40"/>
      <c r="G339" s="36"/>
      <c r="H339" s="337"/>
      <c r="I339" s="102"/>
      <c r="J339" s="103"/>
      <c r="K339" s="104" t="n">
        <f aca="false">$I$339+$J$339</f>
        <v>0</v>
      </c>
      <c r="L339" s="102" t="n">
        <v>0</v>
      </c>
      <c r="M339" s="103" t="n">
        <v>0</v>
      </c>
      <c r="N339" s="104" t="n">
        <f aca="false">$L$339+$M$339</f>
        <v>0</v>
      </c>
      <c r="O339" s="220"/>
      <c r="P339" s="220"/>
      <c r="Q339" s="220"/>
      <c r="R339" s="220"/>
      <c r="S339" s="220"/>
      <c r="T339" s="300"/>
      <c r="U339" s="223" t="s">
        <v>522</v>
      </c>
      <c r="V339" s="224" t="n">
        <v>902</v>
      </c>
      <c r="W339" s="212"/>
      <c r="X339" s="225"/>
      <c r="Y339" s="225"/>
      <c r="Z339" s="226" t="n">
        <v>306</v>
      </c>
      <c r="AA339" s="227" t="s">
        <v>523</v>
      </c>
      <c r="AB339" s="241" t="n">
        <v>94</v>
      </c>
      <c r="AC339" s="243" t="s">
        <v>524</v>
      </c>
      <c r="AD339" s="241"/>
      <c r="AE339" s="229"/>
      <c r="AF339" s="229"/>
      <c r="AG339" s="238"/>
      <c r="AH339" s="240"/>
      <c r="AI339" s="229"/>
      <c r="AJ339" s="231"/>
      <c r="AK339" s="299"/>
      <c r="AL339" s="299"/>
      <c r="AM339" s="295"/>
      <c r="AN339" s="296"/>
      <c r="AO339" s="229"/>
      <c r="AP339" s="300"/>
      <c r="AQ339" s="278"/>
      <c r="AR339" s="277"/>
      <c r="AS339" s="229"/>
      <c r="AT339" s="229"/>
      <c r="AU339" s="229"/>
      <c r="AV339" s="5"/>
      <c r="AW339" s="5"/>
      <c r="AX339" s="5"/>
      <c r="AY339" s="5"/>
      <c r="AZ339" s="5"/>
      <c r="BA339" s="5"/>
      <c r="BB339" s="5"/>
      <c r="BC339" s="5"/>
      <c r="BD339" s="5"/>
      <c r="BE339" s="5"/>
      <c r="BF339" s="5"/>
      <c r="BG339" s="5"/>
    </row>
    <row r="340" customFormat="false" ht="15" hidden="false" customHeight="true" outlineLevel="0" collapsed="false">
      <c r="A340" s="35" t="s">
        <v>24</v>
      </c>
      <c r="B340" s="37"/>
      <c r="C340" s="38"/>
      <c r="D340" s="102"/>
      <c r="E340" s="101"/>
      <c r="F340" s="40"/>
      <c r="G340" s="36"/>
      <c r="H340" s="337"/>
      <c r="I340" s="102"/>
      <c r="J340" s="103"/>
      <c r="K340" s="104" t="n">
        <f aca="false">$I$340+$J$340</f>
        <v>0</v>
      </c>
      <c r="L340" s="102" t="n">
        <v>0</v>
      </c>
      <c r="M340" s="103" t="n">
        <v>0</v>
      </c>
      <c r="N340" s="104" t="n">
        <f aca="false">$L$340+$M$340</f>
        <v>0</v>
      </c>
      <c r="O340" s="220"/>
      <c r="P340" s="220"/>
      <c r="Q340" s="220"/>
      <c r="R340" s="220"/>
      <c r="S340" s="220"/>
      <c r="T340" s="300"/>
      <c r="U340" s="223" t="s">
        <v>525</v>
      </c>
      <c r="V340" s="224" t="n">
        <v>903</v>
      </c>
      <c r="W340" s="212"/>
      <c r="X340" s="225"/>
      <c r="Y340" s="225"/>
      <c r="Z340" s="226" t="n">
        <v>307</v>
      </c>
      <c r="AA340" s="227" t="s">
        <v>526</v>
      </c>
      <c r="AB340" s="241" t="n">
        <v>95</v>
      </c>
      <c r="AC340" s="243" t="s">
        <v>527</v>
      </c>
      <c r="AD340" s="241"/>
      <c r="AE340" s="229"/>
      <c r="AF340" s="229"/>
      <c r="AG340" s="238"/>
      <c r="AH340" s="240"/>
      <c r="AI340" s="229"/>
      <c r="AJ340" s="231"/>
      <c r="AK340" s="299"/>
      <c r="AL340" s="299"/>
      <c r="AM340" s="295"/>
      <c r="AN340" s="296"/>
      <c r="AO340" s="229"/>
      <c r="AP340" s="300"/>
      <c r="AQ340" s="278"/>
      <c r="AR340" s="277"/>
      <c r="AS340" s="229"/>
      <c r="AT340" s="229"/>
      <c r="AU340" s="229"/>
      <c r="AV340" s="5"/>
      <c r="AW340" s="5"/>
      <c r="AX340" s="5"/>
      <c r="AY340" s="5"/>
      <c r="AZ340" s="5"/>
      <c r="BA340" s="5"/>
      <c r="BB340" s="5"/>
      <c r="BC340" s="5"/>
      <c r="BD340" s="5"/>
      <c r="BE340" s="5"/>
      <c r="BF340" s="5"/>
      <c r="BG340" s="5"/>
    </row>
    <row r="341" customFormat="false" ht="15" hidden="false" customHeight="true" outlineLevel="0" collapsed="false">
      <c r="A341" s="35" t="s">
        <v>25</v>
      </c>
      <c r="B341" s="37"/>
      <c r="C341" s="38"/>
      <c r="D341" s="102"/>
      <c r="E341" s="101"/>
      <c r="F341" s="40"/>
      <c r="G341" s="36"/>
      <c r="H341" s="337"/>
      <c r="I341" s="102"/>
      <c r="J341" s="103"/>
      <c r="K341" s="104" t="n">
        <f aca="false">$I$341+$J$341</f>
        <v>0</v>
      </c>
      <c r="L341" s="102" t="n">
        <v>0</v>
      </c>
      <c r="M341" s="103" t="n">
        <v>0</v>
      </c>
      <c r="N341" s="104" t="n">
        <f aca="false">$L$341+$M$341</f>
        <v>0</v>
      </c>
      <c r="O341" s="220"/>
      <c r="P341" s="220"/>
      <c r="Q341" s="220"/>
      <c r="R341" s="220"/>
      <c r="S341" s="220"/>
      <c r="T341" s="300"/>
      <c r="U341" s="223" t="s">
        <v>528</v>
      </c>
      <c r="V341" s="224" t="n">
        <v>904</v>
      </c>
      <c r="W341" s="212"/>
      <c r="X341" s="225"/>
      <c r="Y341" s="225"/>
      <c r="Z341" s="226" t="n">
        <v>308</v>
      </c>
      <c r="AA341" s="227" t="s">
        <v>529</v>
      </c>
      <c r="AB341" s="241" t="n">
        <v>96</v>
      </c>
      <c r="AC341" s="243" t="s">
        <v>530</v>
      </c>
      <c r="AD341" s="241"/>
      <c r="AE341" s="229"/>
      <c r="AF341" s="229"/>
      <c r="AG341" s="238"/>
      <c r="AH341" s="240"/>
      <c r="AI341" s="229"/>
      <c r="AJ341" s="231"/>
      <c r="AK341" s="299"/>
      <c r="AL341" s="299"/>
      <c r="AM341" s="295"/>
      <c r="AN341" s="296"/>
      <c r="AO341" s="229"/>
      <c r="AP341" s="300"/>
      <c r="AQ341" s="278"/>
      <c r="AR341" s="277"/>
      <c r="AS341" s="229"/>
      <c r="AT341" s="229"/>
      <c r="AU341" s="229"/>
      <c r="AV341" s="5"/>
      <c r="AW341" s="5"/>
      <c r="AX341" s="5"/>
      <c r="AY341" s="5"/>
      <c r="AZ341" s="5"/>
      <c r="BA341" s="5"/>
      <c r="BB341" s="5"/>
      <c r="BC341" s="5"/>
      <c r="BD341" s="5"/>
      <c r="BE341" s="5"/>
      <c r="BF341" s="5"/>
      <c r="BG341" s="5"/>
    </row>
    <row r="342" customFormat="false" ht="15" hidden="false" customHeight="true" outlineLevel="0" collapsed="false">
      <c r="A342" s="35" t="s">
        <v>26</v>
      </c>
      <c r="B342" s="37"/>
      <c r="C342" s="38"/>
      <c r="D342" s="102"/>
      <c r="E342" s="101"/>
      <c r="F342" s="40"/>
      <c r="G342" s="36"/>
      <c r="H342" s="337"/>
      <c r="I342" s="102"/>
      <c r="J342" s="103"/>
      <c r="K342" s="104" t="n">
        <f aca="false">$I$342+$J$342</f>
        <v>0</v>
      </c>
      <c r="L342" s="102" t="n">
        <v>0</v>
      </c>
      <c r="M342" s="103" t="n">
        <v>0</v>
      </c>
      <c r="N342" s="104" t="n">
        <f aca="false">$L$342+$M$342</f>
        <v>0</v>
      </c>
      <c r="O342" s="220"/>
      <c r="P342" s="220"/>
      <c r="Q342" s="220"/>
      <c r="R342" s="220"/>
      <c r="S342" s="220"/>
      <c r="T342" s="300"/>
      <c r="U342" s="223" t="s">
        <v>531</v>
      </c>
      <c r="V342" s="224" t="n">
        <v>905</v>
      </c>
      <c r="W342" s="212"/>
      <c r="X342" s="225"/>
      <c r="Y342" s="225"/>
      <c r="Z342" s="226" t="n">
        <v>309</v>
      </c>
      <c r="AA342" s="227" t="s">
        <v>532</v>
      </c>
      <c r="AB342" s="241" t="n">
        <v>97</v>
      </c>
      <c r="AC342" s="243" t="s">
        <v>533</v>
      </c>
      <c r="AD342" s="241"/>
      <c r="AE342" s="229"/>
      <c r="AF342" s="229"/>
      <c r="AG342" s="238"/>
      <c r="AH342" s="240"/>
      <c r="AI342" s="229"/>
      <c r="AJ342" s="231"/>
      <c r="AK342" s="299"/>
      <c r="AL342" s="299"/>
      <c r="AM342" s="295"/>
      <c r="AN342" s="296"/>
      <c r="AO342" s="229"/>
      <c r="AP342" s="300"/>
      <c r="AQ342" s="278"/>
      <c r="AR342" s="277"/>
      <c r="AS342" s="229"/>
      <c r="AT342" s="229"/>
      <c r="AU342" s="229"/>
      <c r="AV342" s="5"/>
      <c r="AW342" s="5"/>
      <c r="AX342" s="5"/>
      <c r="AY342" s="5"/>
      <c r="AZ342" s="5"/>
      <c r="BA342" s="5"/>
      <c r="BB342" s="5"/>
      <c r="BC342" s="5"/>
      <c r="BD342" s="5"/>
      <c r="BE342" s="5"/>
      <c r="BF342" s="5"/>
      <c r="BG342" s="5"/>
    </row>
    <row r="343" customFormat="false" ht="15" hidden="false" customHeight="true" outlineLevel="0" collapsed="false">
      <c r="A343" s="35" t="s">
        <v>27</v>
      </c>
      <c r="B343" s="37"/>
      <c r="C343" s="38"/>
      <c r="D343" s="102"/>
      <c r="E343" s="101"/>
      <c r="F343" s="40"/>
      <c r="G343" s="36"/>
      <c r="H343" s="337"/>
      <c r="I343" s="102"/>
      <c r="J343" s="103"/>
      <c r="K343" s="104" t="n">
        <f aca="false">$I$343+$J$343</f>
        <v>0</v>
      </c>
      <c r="L343" s="102" t="n">
        <v>0</v>
      </c>
      <c r="M343" s="103" t="n">
        <v>0</v>
      </c>
      <c r="N343" s="104" t="n">
        <f aca="false">$L$343+$M$343</f>
        <v>0</v>
      </c>
      <c r="O343" s="220"/>
      <c r="P343" s="220"/>
      <c r="Q343" s="220"/>
      <c r="R343" s="220"/>
      <c r="S343" s="220"/>
      <c r="T343" s="300"/>
      <c r="U343" s="223" t="s">
        <v>534</v>
      </c>
      <c r="V343" s="224" t="n">
        <v>906</v>
      </c>
      <c r="W343" s="212"/>
      <c r="X343" s="225"/>
      <c r="Y343" s="225"/>
      <c r="Z343" s="226" t="n">
        <v>310</v>
      </c>
      <c r="AA343" s="227" t="s">
        <v>535</v>
      </c>
      <c r="AB343" s="241" t="n">
        <v>98</v>
      </c>
      <c r="AC343" s="243" t="s">
        <v>536</v>
      </c>
      <c r="AD343" s="241"/>
      <c r="AE343" s="229"/>
      <c r="AF343" s="229"/>
      <c r="AG343" s="238"/>
      <c r="AH343" s="240"/>
      <c r="AI343" s="229"/>
      <c r="AJ343" s="231"/>
      <c r="AK343" s="299"/>
      <c r="AL343" s="299"/>
      <c r="AM343" s="295"/>
      <c r="AN343" s="296"/>
      <c r="AO343" s="229"/>
      <c r="AP343" s="300"/>
      <c r="AQ343" s="278"/>
      <c r="AR343" s="277"/>
      <c r="AS343" s="229"/>
      <c r="AT343" s="229"/>
      <c r="AU343" s="229"/>
      <c r="AV343" s="5"/>
      <c r="AW343" s="5"/>
      <c r="AX343" s="5"/>
      <c r="AY343" s="5"/>
      <c r="AZ343" s="5"/>
      <c r="BA343" s="5"/>
      <c r="BB343" s="5"/>
      <c r="BC343" s="5"/>
      <c r="BD343" s="5"/>
      <c r="BE343" s="5"/>
      <c r="BF343" s="5"/>
      <c r="BG343" s="5"/>
    </row>
    <row r="344" customFormat="false" ht="15" hidden="false" customHeight="true" outlineLevel="0" collapsed="false">
      <c r="A344" s="35" t="s">
        <v>28</v>
      </c>
      <c r="B344" s="37"/>
      <c r="C344" s="38"/>
      <c r="D344" s="102"/>
      <c r="E344" s="101"/>
      <c r="F344" s="40"/>
      <c r="G344" s="36"/>
      <c r="H344" s="338"/>
      <c r="I344" s="110"/>
      <c r="J344" s="111"/>
      <c r="K344" s="112" t="n">
        <f aca="false">$I$344+$J$344</f>
        <v>0</v>
      </c>
      <c r="L344" s="110" t="n">
        <v>0</v>
      </c>
      <c r="M344" s="111" t="n">
        <v>0</v>
      </c>
      <c r="N344" s="112" t="n">
        <f aca="false">$L$344+$M$344</f>
        <v>0</v>
      </c>
      <c r="O344" s="220"/>
      <c r="P344" s="220"/>
      <c r="Q344" s="220"/>
      <c r="R344" s="220"/>
      <c r="S344" s="220"/>
      <c r="T344" s="300"/>
      <c r="U344" s="223" t="s">
        <v>537</v>
      </c>
      <c r="V344" s="224" t="n">
        <v>907</v>
      </c>
      <c r="W344" s="212"/>
      <c r="X344" s="225"/>
      <c r="Y344" s="225"/>
      <c r="Z344" s="226" t="n">
        <v>311</v>
      </c>
      <c r="AA344" s="227" t="s">
        <v>538</v>
      </c>
      <c r="AB344" s="241" t="n">
        <v>99</v>
      </c>
      <c r="AC344" s="243" t="s">
        <v>539</v>
      </c>
      <c r="AD344" s="241"/>
      <c r="AE344" s="229"/>
      <c r="AF344" s="229"/>
      <c r="AG344" s="238"/>
      <c r="AH344" s="240"/>
      <c r="AI344" s="229"/>
      <c r="AJ344" s="231"/>
      <c r="AK344" s="299"/>
      <c r="AL344" s="299"/>
      <c r="AM344" s="295"/>
      <c r="AN344" s="296"/>
      <c r="AO344" s="229"/>
      <c r="AP344" s="300"/>
      <c r="AQ344" s="278"/>
      <c r="AR344" s="277"/>
      <c r="AS344" s="229"/>
      <c r="AT344" s="229"/>
      <c r="AU344" s="229"/>
      <c r="AV344" s="5"/>
      <c r="AW344" s="5"/>
      <c r="AX344" s="5"/>
      <c r="AY344" s="5"/>
      <c r="AZ344" s="5"/>
      <c r="BA344" s="5"/>
      <c r="BB344" s="5"/>
      <c r="BC344" s="5"/>
      <c r="BD344" s="5"/>
      <c r="BE344" s="5"/>
      <c r="BF344" s="5"/>
      <c r="BG344" s="5"/>
    </row>
    <row r="345" customFormat="false" ht="15" hidden="false" customHeight="true" outlineLevel="0" collapsed="false">
      <c r="A345" s="339" t="s">
        <v>17</v>
      </c>
      <c r="B345" s="340" t="s">
        <v>483</v>
      </c>
      <c r="C345" s="326"/>
      <c r="D345" s="326"/>
      <c r="E345" s="326"/>
      <c r="F345" s="326"/>
      <c r="G345" s="327"/>
      <c r="H345" s="329" t="n">
        <f aca="false">SUM(I335:I344)</f>
        <v>0</v>
      </c>
      <c r="I345" s="330" t="n">
        <f aca="false">SUM(J335:J344)</f>
        <v>0</v>
      </c>
      <c r="J345" s="341" t="n">
        <f aca="false">SUM(K335:K344)</f>
        <v>0</v>
      </c>
      <c r="K345" s="342" t="n">
        <f aca="false">SUM(L335:L344)</f>
        <v>0</v>
      </c>
      <c r="L345" s="330" t="n">
        <f aca="false">SUM(M335:M344)</f>
        <v>0</v>
      </c>
      <c r="M345" s="341" t="n">
        <f aca="false">SUM(N335:N344)</f>
        <v>0</v>
      </c>
      <c r="N345" s="142" t="n">
        <f aca="false">SUM(N335:N344)</f>
        <v>0</v>
      </c>
      <c r="O345" s="343"/>
      <c r="P345" s="344"/>
      <c r="Q345" s="344"/>
      <c r="R345" s="344"/>
      <c r="S345" s="220"/>
      <c r="T345" s="300"/>
      <c r="U345" s="223" t="s">
        <v>540</v>
      </c>
      <c r="V345" s="224" t="n">
        <v>908</v>
      </c>
      <c r="W345" s="212"/>
      <c r="X345" s="225"/>
      <c r="Y345" s="225"/>
      <c r="Z345" s="226" t="n">
        <v>312</v>
      </c>
      <c r="AA345" s="227" t="s">
        <v>541</v>
      </c>
      <c r="AB345" s="241" t="n">
        <v>100</v>
      </c>
      <c r="AC345" s="243" t="s">
        <v>542</v>
      </c>
      <c r="AD345" s="241"/>
      <c r="AE345" s="229"/>
      <c r="AF345" s="229"/>
      <c r="AG345" s="238"/>
      <c r="AH345" s="240"/>
      <c r="AI345" s="229"/>
      <c r="AJ345" s="231"/>
      <c r="AK345" s="299"/>
      <c r="AL345" s="299"/>
      <c r="AM345" s="295"/>
      <c r="AN345" s="296"/>
      <c r="AO345" s="229"/>
      <c r="AP345" s="300"/>
      <c r="AQ345" s="278"/>
      <c r="AR345" s="277"/>
      <c r="AS345" s="229"/>
      <c r="AT345" s="229"/>
      <c r="AU345" s="229"/>
      <c r="AV345" s="5"/>
      <c r="AW345" s="5"/>
      <c r="AX345" s="5"/>
      <c r="AY345" s="5"/>
      <c r="AZ345" s="5"/>
      <c r="BA345" s="5"/>
      <c r="BB345" s="5"/>
      <c r="BC345" s="5"/>
      <c r="BD345" s="5"/>
      <c r="BE345" s="5"/>
      <c r="BF345" s="5"/>
      <c r="BG345" s="5"/>
    </row>
    <row r="346" customFormat="false" ht="15" hidden="false" customHeight="true" outlineLevel="0" collapsed="false">
      <c r="A346" s="164" t="s">
        <v>120</v>
      </c>
      <c r="T346" s="220"/>
      <c r="U346" s="222" t="s">
        <v>179</v>
      </c>
      <c r="V346" s="223" t="s">
        <v>543</v>
      </c>
      <c r="W346" s="224" t="n">
        <v>910</v>
      </c>
      <c r="X346" s="212"/>
      <c r="Y346" s="225"/>
      <c r="Z346" s="225"/>
      <c r="AA346" s="226" t="n">
        <v>314</v>
      </c>
      <c r="AB346" s="227" t="s">
        <v>544</v>
      </c>
      <c r="AC346" s="241" t="n">
        <v>102</v>
      </c>
      <c r="AD346" s="243" t="s">
        <v>545</v>
      </c>
      <c r="AE346" s="229"/>
      <c r="AF346" s="229"/>
      <c r="AG346" s="229"/>
      <c r="AH346" s="238"/>
      <c r="AI346" s="240"/>
      <c r="AJ346" s="229"/>
      <c r="AK346" s="231"/>
      <c r="AL346" s="299"/>
      <c r="AM346" s="299"/>
      <c r="AN346" s="295"/>
      <c r="AO346" s="296"/>
      <c r="AP346" s="229"/>
      <c r="AQ346" s="300"/>
      <c r="AR346" s="278"/>
      <c r="AS346" s="277"/>
      <c r="AT346" s="229"/>
      <c r="AU346" s="229"/>
      <c r="AV346" s="229"/>
      <c r="AW346" s="5"/>
      <c r="AX346" s="5"/>
      <c r="AY346" s="5"/>
      <c r="AZ346" s="5"/>
      <c r="BA346" s="5"/>
      <c r="BB346" s="5"/>
      <c r="BC346" s="5"/>
      <c r="BD346" s="5"/>
      <c r="BE346" s="5"/>
      <c r="BF346" s="5"/>
      <c r="BG346" s="5"/>
    </row>
    <row r="347" customFormat="false" ht="15" hidden="false" customHeight="true" outlineLevel="0" collapsed="false">
      <c r="A347" s="73" t="s">
        <v>546</v>
      </c>
      <c r="T347" s="220"/>
      <c r="U347" s="222" t="s">
        <v>179</v>
      </c>
      <c r="V347" s="223" t="s">
        <v>547</v>
      </c>
      <c r="W347" s="224" t="n">
        <v>911</v>
      </c>
      <c r="X347" s="212"/>
      <c r="Y347" s="225"/>
      <c r="Z347" s="225"/>
      <c r="AA347" s="226" t="n">
        <v>315</v>
      </c>
      <c r="AB347" s="227" t="s">
        <v>548</v>
      </c>
      <c r="AC347" s="241" t="n">
        <v>103</v>
      </c>
      <c r="AD347" s="243" t="s">
        <v>549</v>
      </c>
      <c r="AE347" s="229"/>
      <c r="AF347" s="229"/>
      <c r="AG347" s="229"/>
      <c r="AH347" s="238"/>
      <c r="AI347" s="240"/>
      <c r="AJ347" s="229"/>
      <c r="AK347" s="231"/>
      <c r="AL347" s="299"/>
      <c r="AM347" s="299"/>
      <c r="AN347" s="295"/>
      <c r="AO347" s="296"/>
      <c r="AP347" s="229"/>
      <c r="AQ347" s="300"/>
      <c r="AR347" s="278"/>
      <c r="AS347" s="277"/>
      <c r="AT347" s="229"/>
      <c r="AU347" s="229"/>
      <c r="AV347" s="229"/>
      <c r="AW347" s="5"/>
      <c r="AX347" s="5"/>
      <c r="AY347" s="5"/>
      <c r="AZ347" s="5"/>
      <c r="BA347" s="5"/>
      <c r="BB347" s="5"/>
      <c r="BC347" s="5"/>
      <c r="BD347" s="5"/>
      <c r="BE347" s="5"/>
      <c r="BF347" s="5"/>
      <c r="BG347" s="5"/>
    </row>
    <row r="348" customFormat="false" ht="15" hidden="false" customHeight="true" outlineLevel="0" collapsed="false">
      <c r="U348" s="222" t="s">
        <v>179</v>
      </c>
      <c r="V348" s="223" t="s">
        <v>550</v>
      </c>
      <c r="W348" s="224" t="n">
        <v>913</v>
      </c>
      <c r="X348" s="212"/>
      <c r="Y348" s="225"/>
      <c r="Z348" s="225"/>
      <c r="AA348" s="226" t="n">
        <v>317</v>
      </c>
      <c r="AB348" s="227" t="s">
        <v>551</v>
      </c>
      <c r="AC348" s="241" t="n">
        <v>105</v>
      </c>
      <c r="AD348" s="243" t="s">
        <v>552</v>
      </c>
      <c r="AE348" s="229"/>
      <c r="AF348" s="229"/>
      <c r="AG348" s="229"/>
      <c r="AH348" s="238"/>
      <c r="AI348" s="240"/>
      <c r="AJ348" s="229"/>
      <c r="AK348" s="231"/>
      <c r="AL348" s="299"/>
      <c r="AM348" s="299"/>
      <c r="AN348" s="295"/>
      <c r="AO348" s="296"/>
      <c r="AP348" s="229"/>
      <c r="AQ348" s="300"/>
      <c r="AR348" s="278"/>
      <c r="AS348" s="277"/>
      <c r="AT348" s="229"/>
      <c r="AU348" s="229"/>
      <c r="AV348" s="229"/>
      <c r="AW348" s="5"/>
      <c r="AX348" s="5"/>
      <c r="AY348" s="5"/>
      <c r="AZ348" s="5"/>
      <c r="BA348" s="5"/>
      <c r="BB348" s="5"/>
      <c r="BC348" s="5"/>
      <c r="BD348" s="5"/>
      <c r="BE348" s="5"/>
      <c r="BF348" s="5"/>
      <c r="BG348" s="5"/>
    </row>
    <row r="349" customFormat="false" ht="15" hidden="false" customHeight="true" outlineLevel="0" collapsed="false">
      <c r="A349" s="345" t="s">
        <v>553</v>
      </c>
      <c r="B349" s="345"/>
      <c r="C349" s="345"/>
      <c r="D349" s="345"/>
      <c r="E349" s="345"/>
      <c r="F349" s="345"/>
      <c r="G349" s="345"/>
      <c r="H349" s="345"/>
      <c r="I349" s="345"/>
      <c r="J349" s="345"/>
      <c r="K349" s="345"/>
      <c r="L349" s="345"/>
      <c r="M349" s="345"/>
      <c r="N349" s="346"/>
      <c r="O349" s="346"/>
      <c r="P349" s="346"/>
      <c r="Q349" s="346"/>
      <c r="R349" s="346"/>
      <c r="S349" s="346"/>
      <c r="T349" s="344"/>
      <c r="U349" s="222" t="s">
        <v>179</v>
      </c>
      <c r="V349" s="223" t="s">
        <v>554</v>
      </c>
      <c r="W349" s="224" t="n">
        <v>914</v>
      </c>
      <c r="X349" s="212"/>
      <c r="Y349" s="225"/>
      <c r="Z349" s="225"/>
      <c r="AA349" s="226" t="n">
        <v>318</v>
      </c>
      <c r="AB349" s="227" t="s">
        <v>555</v>
      </c>
      <c r="AC349" s="241" t="n">
        <v>106</v>
      </c>
      <c r="AD349" s="243" t="s">
        <v>556</v>
      </c>
      <c r="AE349" s="229"/>
      <c r="AF349" s="229"/>
      <c r="AG349" s="229"/>
      <c r="AH349" s="238"/>
      <c r="AI349" s="240"/>
      <c r="AJ349" s="229"/>
      <c r="AK349" s="231"/>
      <c r="AL349" s="299"/>
      <c r="AM349" s="299"/>
      <c r="AN349" s="295"/>
      <c r="AO349" s="296"/>
      <c r="AP349" s="229"/>
      <c r="AQ349" s="300"/>
      <c r="AR349" s="278"/>
      <c r="AS349" s="277"/>
      <c r="AT349" s="229"/>
      <c r="AU349" s="229"/>
      <c r="AV349" s="229"/>
      <c r="AW349" s="5"/>
      <c r="AX349" s="5"/>
      <c r="AY349" s="5"/>
      <c r="AZ349" s="5"/>
      <c r="BA349" s="5"/>
      <c r="BB349" s="5"/>
      <c r="BC349" s="5"/>
      <c r="BD349" s="5"/>
      <c r="BE349" s="5"/>
      <c r="BF349" s="5"/>
      <c r="BG349" s="5"/>
    </row>
    <row r="350" customFormat="false" ht="15" hidden="false" customHeight="true" outlineLevel="0" collapsed="false">
      <c r="A350" s="88" t="s">
        <v>3</v>
      </c>
      <c r="B350" s="89" t="s">
        <v>5</v>
      </c>
      <c r="C350" s="89"/>
      <c r="D350" s="88" t="s">
        <v>74</v>
      </c>
      <c r="E350" s="88" t="s">
        <v>82</v>
      </c>
      <c r="F350" s="88" t="s">
        <v>108</v>
      </c>
      <c r="G350" s="88" t="s">
        <v>10</v>
      </c>
      <c r="H350" s="88" t="s">
        <v>557</v>
      </c>
      <c r="I350" s="88" t="s">
        <v>558</v>
      </c>
      <c r="J350" s="88"/>
      <c r="K350" s="88"/>
      <c r="U350" s="222" t="s">
        <v>179</v>
      </c>
      <c r="V350" s="223" t="s">
        <v>559</v>
      </c>
      <c r="W350" s="224" t="n">
        <v>915</v>
      </c>
      <c r="X350" s="212"/>
      <c r="Y350" s="225"/>
      <c r="Z350" s="225"/>
      <c r="AA350" s="226" t="n">
        <v>319</v>
      </c>
      <c r="AB350" s="227" t="s">
        <v>560</v>
      </c>
      <c r="AC350" s="241" t="n">
        <v>107</v>
      </c>
      <c r="AD350" s="243" t="s">
        <v>561</v>
      </c>
      <c r="AE350" s="229"/>
      <c r="AF350" s="229"/>
      <c r="AG350" s="229"/>
      <c r="AH350" s="238"/>
      <c r="AI350" s="240"/>
      <c r="AJ350" s="229"/>
      <c r="AK350" s="231"/>
      <c r="AL350" s="299"/>
      <c r="AM350" s="299"/>
      <c r="AN350" s="295"/>
      <c r="AO350" s="296"/>
      <c r="AP350" s="229"/>
      <c r="AQ350" s="300"/>
      <c r="AR350" s="278"/>
      <c r="AS350" s="277"/>
      <c r="AT350" s="229"/>
      <c r="AU350" s="229"/>
      <c r="AV350" s="229"/>
      <c r="AW350" s="5"/>
      <c r="AX350" s="5"/>
      <c r="AY350" s="5"/>
      <c r="AZ350" s="5"/>
      <c r="BA350" s="5"/>
      <c r="BB350" s="5"/>
      <c r="BC350" s="5"/>
      <c r="BD350" s="5"/>
      <c r="BE350" s="5"/>
      <c r="BF350" s="5"/>
      <c r="BG350" s="5"/>
    </row>
    <row r="351" customFormat="false" ht="15" hidden="false" customHeight="true" outlineLevel="0" collapsed="false">
      <c r="A351" s="88"/>
      <c r="B351" s="89" t="s">
        <v>102</v>
      </c>
      <c r="C351" s="89" t="s">
        <v>103</v>
      </c>
      <c r="D351" s="88"/>
      <c r="E351" s="88"/>
      <c r="F351" s="88"/>
      <c r="G351" s="88"/>
      <c r="H351" s="88"/>
      <c r="I351" s="88" t="s">
        <v>15</v>
      </c>
      <c r="J351" s="90" t="s">
        <v>98</v>
      </c>
      <c r="K351" s="95" t="s">
        <v>17</v>
      </c>
      <c r="U351" s="222" t="s">
        <v>179</v>
      </c>
      <c r="V351" s="223" t="s">
        <v>562</v>
      </c>
      <c r="W351" s="224" t="n">
        <v>916</v>
      </c>
      <c r="X351" s="212"/>
      <c r="Y351" s="225"/>
      <c r="Z351" s="225"/>
      <c r="AA351" s="226" t="n">
        <v>320</v>
      </c>
      <c r="AB351" s="227" t="s">
        <v>563</v>
      </c>
      <c r="AC351" s="241" t="n">
        <v>108</v>
      </c>
      <c r="AD351" s="243" t="s">
        <v>564</v>
      </c>
      <c r="AE351" s="229"/>
      <c r="AF351" s="229"/>
      <c r="AG351" s="229"/>
      <c r="AH351" s="238"/>
      <c r="AI351" s="240"/>
      <c r="AJ351" s="229"/>
      <c r="AK351" s="231"/>
      <c r="AL351" s="299"/>
      <c r="AM351" s="299"/>
      <c r="AN351" s="295"/>
      <c r="AO351" s="296"/>
      <c r="AP351" s="229"/>
      <c r="AQ351" s="300"/>
      <c r="AR351" s="278"/>
      <c r="AS351" s="277"/>
      <c r="AT351" s="229"/>
      <c r="AU351" s="229"/>
      <c r="AV351" s="229"/>
      <c r="AW351" s="5"/>
      <c r="AX351" s="5"/>
      <c r="AY351" s="5"/>
      <c r="AZ351" s="5"/>
      <c r="BA351" s="5"/>
      <c r="BB351" s="5"/>
      <c r="BC351" s="5"/>
      <c r="BD351" s="5"/>
      <c r="BE351" s="5"/>
      <c r="BF351" s="5"/>
      <c r="BG351" s="5"/>
    </row>
    <row r="352" customFormat="false" ht="15" hidden="false" customHeight="true" outlineLevel="0" collapsed="false">
      <c r="A352" s="22" t="s">
        <v>19</v>
      </c>
      <c r="B352" s="24"/>
      <c r="C352" s="25"/>
      <c r="D352" s="97"/>
      <c r="E352" s="96"/>
      <c r="F352" s="27"/>
      <c r="G352" s="347"/>
      <c r="H352" s="348"/>
      <c r="I352" s="97"/>
      <c r="J352" s="259"/>
      <c r="K352" s="99" t="n">
        <f aca="false">$I$352+$J$352</f>
        <v>0</v>
      </c>
      <c r="U352" s="222" t="s">
        <v>179</v>
      </c>
      <c r="V352" s="223" t="s">
        <v>565</v>
      </c>
      <c r="W352" s="224" t="n">
        <v>917</v>
      </c>
      <c r="X352" s="212"/>
      <c r="Y352" s="225"/>
      <c r="Z352" s="225"/>
      <c r="AA352" s="226" t="n">
        <v>321</v>
      </c>
      <c r="AB352" s="227" t="s">
        <v>566</v>
      </c>
      <c r="AC352" s="241" t="n">
        <v>109</v>
      </c>
      <c r="AD352" s="243" t="s">
        <v>567</v>
      </c>
      <c r="AE352" s="229"/>
      <c r="AF352" s="229"/>
      <c r="AG352" s="229"/>
      <c r="AH352" s="238"/>
      <c r="AI352" s="240"/>
      <c r="AJ352" s="229"/>
      <c r="AK352" s="231"/>
      <c r="AL352" s="299"/>
      <c r="AM352" s="299"/>
      <c r="AN352" s="295"/>
      <c r="AO352" s="296"/>
      <c r="AP352" s="229"/>
      <c r="AQ352" s="300"/>
      <c r="AR352" s="278"/>
      <c r="AS352" s="277"/>
      <c r="AT352" s="229"/>
      <c r="AU352" s="229"/>
      <c r="AV352" s="229"/>
      <c r="AW352" s="5"/>
      <c r="AX352" s="5"/>
      <c r="AY352" s="5"/>
      <c r="AZ352" s="5"/>
      <c r="BA352" s="5"/>
      <c r="BB352" s="5"/>
      <c r="BC352" s="5"/>
      <c r="BD352" s="5"/>
      <c r="BE352" s="5"/>
      <c r="BF352" s="5"/>
      <c r="BG352" s="5"/>
    </row>
    <row r="353" customFormat="false" ht="15" hidden="false" customHeight="true" outlineLevel="0" collapsed="false">
      <c r="A353" s="35" t="s">
        <v>20</v>
      </c>
      <c r="B353" s="37"/>
      <c r="C353" s="38"/>
      <c r="D353" s="105"/>
      <c r="E353" s="101"/>
      <c r="F353" s="40"/>
      <c r="G353" s="347"/>
      <c r="H353" s="349"/>
      <c r="I353" s="102"/>
      <c r="J353" s="261"/>
      <c r="K353" s="104" t="n">
        <f aca="false">$I$353+$J$353</f>
        <v>0</v>
      </c>
      <c r="U353" s="222" t="s">
        <v>179</v>
      </c>
      <c r="V353" s="223" t="s">
        <v>568</v>
      </c>
      <c r="W353" s="224" t="n">
        <v>918</v>
      </c>
      <c r="X353" s="212"/>
      <c r="Y353" s="225"/>
      <c r="Z353" s="225"/>
      <c r="AA353" s="226" t="n">
        <v>322</v>
      </c>
      <c r="AB353" s="227" t="s">
        <v>569</v>
      </c>
      <c r="AC353" s="241" t="n">
        <v>110</v>
      </c>
      <c r="AD353" s="243" t="s">
        <v>570</v>
      </c>
      <c r="AE353" s="229"/>
      <c r="AF353" s="229"/>
      <c r="AG353" s="229"/>
      <c r="AH353" s="238"/>
      <c r="AI353" s="240"/>
      <c r="AJ353" s="229"/>
      <c r="AK353" s="231"/>
      <c r="AL353" s="299"/>
      <c r="AM353" s="299"/>
      <c r="AN353" s="295"/>
      <c r="AO353" s="296"/>
      <c r="AP353" s="229"/>
      <c r="AQ353" s="300"/>
      <c r="AR353" s="278"/>
      <c r="AS353" s="277"/>
      <c r="AT353" s="229"/>
      <c r="AU353" s="229"/>
      <c r="AV353" s="229"/>
      <c r="AW353" s="5"/>
      <c r="AX353" s="5"/>
      <c r="AY353" s="5"/>
      <c r="AZ353" s="5"/>
      <c r="BA353" s="5"/>
      <c r="BB353" s="5"/>
      <c r="BC353" s="5"/>
      <c r="BD353" s="5"/>
      <c r="BE353" s="5"/>
      <c r="BF353" s="5"/>
      <c r="BG353" s="5"/>
    </row>
    <row r="354" customFormat="false" ht="15" hidden="false" customHeight="true" outlineLevel="0" collapsed="false">
      <c r="A354" s="35" t="s">
        <v>21</v>
      </c>
      <c r="B354" s="37"/>
      <c r="C354" s="38"/>
      <c r="D354" s="105"/>
      <c r="E354" s="101"/>
      <c r="F354" s="40"/>
      <c r="G354" s="347"/>
      <c r="H354" s="349"/>
      <c r="I354" s="102"/>
      <c r="J354" s="261"/>
      <c r="K354" s="104" t="n">
        <f aca="false">$I$354+$J$354</f>
        <v>0</v>
      </c>
      <c r="T354" s="346"/>
      <c r="U354" s="222" t="s">
        <v>179</v>
      </c>
      <c r="V354" s="223" t="s">
        <v>334</v>
      </c>
      <c r="W354" s="224" t="n">
        <v>919</v>
      </c>
      <c r="X354" s="212"/>
      <c r="Y354" s="225"/>
      <c r="Z354" s="225"/>
      <c r="AA354" s="226" t="n">
        <v>323</v>
      </c>
      <c r="AB354" s="227" t="s">
        <v>571</v>
      </c>
      <c r="AC354" s="241" t="n">
        <v>111</v>
      </c>
      <c r="AD354" s="243" t="s">
        <v>572</v>
      </c>
      <c r="AE354" s="229"/>
      <c r="AF354" s="229"/>
      <c r="AG354" s="229"/>
      <c r="AH354" s="238"/>
      <c r="AI354" s="240"/>
      <c r="AJ354" s="229"/>
      <c r="AK354" s="231"/>
      <c r="AL354" s="299"/>
      <c r="AM354" s="299"/>
      <c r="AN354" s="295"/>
      <c r="AO354" s="296"/>
      <c r="AP354" s="229"/>
      <c r="AQ354" s="300"/>
      <c r="AR354" s="278"/>
      <c r="AS354" s="277"/>
      <c r="AT354" s="229"/>
      <c r="AU354" s="229"/>
      <c r="AV354" s="229"/>
      <c r="AW354" s="5"/>
      <c r="AX354" s="5"/>
      <c r="AY354" s="5"/>
      <c r="AZ354" s="5"/>
      <c r="BA354" s="5"/>
      <c r="BB354" s="5"/>
      <c r="BC354" s="5"/>
      <c r="BD354" s="5"/>
      <c r="BE354" s="5"/>
      <c r="BF354" s="5"/>
      <c r="BG354" s="5"/>
    </row>
    <row r="355" customFormat="false" ht="15" hidden="false" customHeight="true" outlineLevel="0" collapsed="false">
      <c r="A355" s="35" t="s">
        <v>22</v>
      </c>
      <c r="B355" s="37"/>
      <c r="C355" s="38"/>
      <c r="D355" s="105"/>
      <c r="E355" s="101"/>
      <c r="F355" s="40"/>
      <c r="G355" s="347"/>
      <c r="H355" s="349"/>
      <c r="I355" s="102"/>
      <c r="J355" s="261"/>
      <c r="K355" s="104" t="n">
        <f aca="false">$I$355+$J$355</f>
        <v>0</v>
      </c>
      <c r="U355" s="222" t="s">
        <v>179</v>
      </c>
      <c r="V355" s="223" t="s">
        <v>573</v>
      </c>
      <c r="W355" s="224" t="n">
        <v>920</v>
      </c>
      <c r="X355" s="212"/>
      <c r="Y355" s="225"/>
      <c r="Z355" s="225"/>
      <c r="AA355" s="226" t="n">
        <v>324</v>
      </c>
      <c r="AB355" s="227" t="s">
        <v>574</v>
      </c>
      <c r="AC355" s="241" t="n">
        <v>112</v>
      </c>
      <c r="AD355" s="243" t="s">
        <v>575</v>
      </c>
      <c r="AE355" s="229"/>
      <c r="AF355" s="229"/>
      <c r="AG355" s="229"/>
      <c r="AH355" s="238"/>
      <c r="AI355" s="240"/>
      <c r="AJ355" s="229"/>
      <c r="AK355" s="231"/>
      <c r="AL355" s="299"/>
      <c r="AM355" s="299"/>
      <c r="AN355" s="295"/>
      <c r="AO355" s="296"/>
      <c r="AP355" s="229"/>
      <c r="AQ355" s="300"/>
      <c r="AR355" s="278"/>
      <c r="AS355" s="277"/>
      <c r="AT355" s="229"/>
      <c r="AU355" s="229"/>
      <c r="AV355" s="229"/>
      <c r="AW355" s="5"/>
      <c r="AX355" s="5"/>
      <c r="AY355" s="5"/>
      <c r="AZ355" s="5"/>
      <c r="BA355" s="5"/>
      <c r="BB355" s="5"/>
      <c r="BC355" s="5"/>
      <c r="BD355" s="5"/>
      <c r="BE355" s="5"/>
      <c r="BF355" s="5"/>
      <c r="BG355" s="5"/>
    </row>
    <row r="356" customFormat="false" ht="15" hidden="false" customHeight="true" outlineLevel="0" collapsed="false">
      <c r="A356" s="35" t="s">
        <v>23</v>
      </c>
      <c r="B356" s="37"/>
      <c r="C356" s="38"/>
      <c r="D356" s="105"/>
      <c r="E356" s="101"/>
      <c r="F356" s="40"/>
      <c r="G356" s="347"/>
      <c r="H356" s="349"/>
      <c r="I356" s="102"/>
      <c r="J356" s="261"/>
      <c r="K356" s="104" t="n">
        <f aca="false">$I$356+$J$356</f>
        <v>0</v>
      </c>
      <c r="U356" s="222" t="s">
        <v>179</v>
      </c>
      <c r="V356" s="223" t="s">
        <v>576</v>
      </c>
      <c r="W356" s="224" t="n">
        <v>921</v>
      </c>
      <c r="X356" s="212"/>
      <c r="Y356" s="225"/>
      <c r="Z356" s="225"/>
      <c r="AA356" s="226" t="n">
        <v>325</v>
      </c>
      <c r="AB356" s="227" t="s">
        <v>577</v>
      </c>
      <c r="AC356" s="241" t="n">
        <v>113</v>
      </c>
      <c r="AD356" s="243" t="s">
        <v>578</v>
      </c>
      <c r="AE356" s="229"/>
      <c r="AF356" s="229"/>
      <c r="AG356" s="229"/>
      <c r="AH356" s="238"/>
      <c r="AI356" s="240"/>
      <c r="AJ356" s="229"/>
      <c r="AK356" s="231"/>
      <c r="AL356" s="299"/>
      <c r="AM356" s="299"/>
      <c r="AN356" s="295"/>
      <c r="AO356" s="296"/>
      <c r="AP356" s="229"/>
      <c r="AQ356" s="300"/>
      <c r="AR356" s="278"/>
      <c r="AS356" s="277"/>
      <c r="AT356" s="229"/>
      <c r="AU356" s="229"/>
      <c r="AV356" s="229"/>
      <c r="AW356" s="5"/>
      <c r="AX356" s="5"/>
      <c r="AY356" s="5"/>
      <c r="AZ356" s="5"/>
      <c r="BA356" s="5"/>
      <c r="BB356" s="5"/>
      <c r="BC356" s="5"/>
      <c r="BD356" s="5"/>
      <c r="BE356" s="5"/>
      <c r="BF356" s="5"/>
      <c r="BG356" s="5"/>
    </row>
    <row r="357" customFormat="false" ht="15" hidden="false" customHeight="true" outlineLevel="0" collapsed="false">
      <c r="A357" s="35" t="s">
        <v>24</v>
      </c>
      <c r="B357" s="37"/>
      <c r="C357" s="38"/>
      <c r="D357" s="105"/>
      <c r="E357" s="101"/>
      <c r="F357" s="40"/>
      <c r="G357" s="347"/>
      <c r="H357" s="349"/>
      <c r="I357" s="102"/>
      <c r="J357" s="261"/>
      <c r="K357" s="104" t="n">
        <f aca="false">$I$357+$J$357</f>
        <v>0</v>
      </c>
      <c r="U357" s="222" t="s">
        <v>179</v>
      </c>
      <c r="V357" s="223" t="s">
        <v>579</v>
      </c>
      <c r="W357" s="224" t="n">
        <v>922</v>
      </c>
      <c r="X357" s="212"/>
      <c r="Y357" s="225"/>
      <c r="Z357" s="225"/>
      <c r="AA357" s="226" t="n">
        <v>326</v>
      </c>
      <c r="AB357" s="227" t="s">
        <v>580</v>
      </c>
      <c r="AC357" s="241" t="n">
        <v>114</v>
      </c>
      <c r="AD357" s="243" t="s">
        <v>581</v>
      </c>
      <c r="AE357" s="229"/>
      <c r="AF357" s="229"/>
      <c r="AG357" s="229"/>
      <c r="AH357" s="238"/>
      <c r="AI357" s="240"/>
      <c r="AJ357" s="229"/>
      <c r="AK357" s="231"/>
      <c r="AL357" s="299"/>
      <c r="AM357" s="299"/>
      <c r="AN357" s="295"/>
      <c r="AO357" s="296"/>
      <c r="AP357" s="229"/>
      <c r="AQ357" s="300"/>
      <c r="AR357" s="278"/>
      <c r="AS357" s="277"/>
      <c r="AT357" s="229"/>
      <c r="AU357" s="229"/>
      <c r="AV357" s="229"/>
      <c r="AW357" s="5"/>
      <c r="AX357" s="5"/>
      <c r="AY357" s="5"/>
      <c r="AZ357" s="5"/>
      <c r="BA357" s="5"/>
      <c r="BB357" s="5"/>
      <c r="BC357" s="5"/>
      <c r="BD357" s="5"/>
      <c r="BE357" s="5"/>
      <c r="BF357" s="5"/>
      <c r="BG357" s="5"/>
    </row>
    <row r="358" customFormat="false" ht="15" hidden="false" customHeight="true" outlineLevel="0" collapsed="false">
      <c r="A358" s="35" t="s">
        <v>25</v>
      </c>
      <c r="B358" s="37"/>
      <c r="C358" s="38"/>
      <c r="D358" s="105"/>
      <c r="E358" s="101"/>
      <c r="F358" s="40"/>
      <c r="G358" s="347"/>
      <c r="H358" s="349"/>
      <c r="I358" s="102"/>
      <c r="J358" s="261"/>
      <c r="K358" s="104" t="n">
        <f aca="false">$I$358+$J$358</f>
        <v>0</v>
      </c>
      <c r="U358" s="222" t="s">
        <v>179</v>
      </c>
      <c r="V358" s="223" t="s">
        <v>582</v>
      </c>
      <c r="W358" s="224" t="n">
        <v>923</v>
      </c>
      <c r="X358" s="212"/>
      <c r="Y358" s="225"/>
      <c r="Z358" s="225"/>
      <c r="AA358" s="226" t="n">
        <v>327</v>
      </c>
      <c r="AB358" s="227" t="s">
        <v>583</v>
      </c>
      <c r="AC358" s="241" t="n">
        <v>115</v>
      </c>
      <c r="AD358" s="243" t="s">
        <v>584</v>
      </c>
      <c r="AE358" s="229"/>
      <c r="AF358" s="229"/>
      <c r="AG358" s="229"/>
      <c r="AH358" s="238"/>
      <c r="AI358" s="240"/>
      <c r="AJ358" s="229"/>
      <c r="AK358" s="231"/>
      <c r="AL358" s="299"/>
      <c r="AM358" s="299"/>
      <c r="AN358" s="295"/>
      <c r="AO358" s="296"/>
      <c r="AP358" s="229"/>
      <c r="AQ358" s="300"/>
      <c r="AR358" s="278"/>
      <c r="AS358" s="277"/>
      <c r="AT358" s="229"/>
      <c r="AU358" s="229"/>
      <c r="AV358" s="229"/>
      <c r="AW358" s="5"/>
      <c r="AX358" s="5"/>
      <c r="AY358" s="5"/>
      <c r="AZ358" s="5"/>
      <c r="BA358" s="5"/>
      <c r="BB358" s="5"/>
      <c r="BC358" s="5"/>
      <c r="BD358" s="5"/>
      <c r="BE358" s="5"/>
      <c r="BF358" s="5"/>
      <c r="BG358" s="5"/>
    </row>
    <row r="359" customFormat="false" ht="15" hidden="false" customHeight="true" outlineLevel="0" collapsed="false">
      <c r="A359" s="35" t="s">
        <v>26</v>
      </c>
      <c r="B359" s="37"/>
      <c r="C359" s="38"/>
      <c r="D359" s="105"/>
      <c r="E359" s="101"/>
      <c r="F359" s="40"/>
      <c r="G359" s="347"/>
      <c r="H359" s="349"/>
      <c r="I359" s="102"/>
      <c r="J359" s="261"/>
      <c r="K359" s="104" t="n">
        <f aca="false">$I$359+$J$359</f>
        <v>0</v>
      </c>
      <c r="U359" s="222" t="s">
        <v>585</v>
      </c>
      <c r="V359" s="223" t="s">
        <v>586</v>
      </c>
      <c r="W359" s="224" t="n">
        <v>1001</v>
      </c>
      <c r="X359" s="212"/>
      <c r="Y359" s="225"/>
      <c r="Z359" s="225"/>
      <c r="AA359" s="226" t="n">
        <v>328</v>
      </c>
      <c r="AB359" s="227" t="s">
        <v>587</v>
      </c>
      <c r="AC359" s="241" t="n">
        <v>116</v>
      </c>
      <c r="AD359" s="243" t="s">
        <v>588</v>
      </c>
      <c r="AE359" s="229"/>
      <c r="AF359" s="229"/>
      <c r="AG359" s="229"/>
      <c r="AH359" s="238"/>
      <c r="AI359" s="240"/>
      <c r="AJ359" s="229"/>
      <c r="AK359" s="231"/>
      <c r="AL359" s="299"/>
      <c r="AM359" s="299"/>
      <c r="AN359" s="295"/>
      <c r="AO359" s="296"/>
      <c r="AP359" s="229"/>
      <c r="AQ359" s="300"/>
      <c r="AR359" s="278"/>
      <c r="AS359" s="277"/>
      <c r="AT359" s="229"/>
      <c r="AU359" s="229"/>
      <c r="AV359" s="229"/>
      <c r="AW359" s="5"/>
      <c r="AX359" s="5"/>
      <c r="AY359" s="5"/>
      <c r="AZ359" s="5"/>
      <c r="BA359" s="5"/>
      <c r="BB359" s="5"/>
      <c r="BC359" s="5"/>
      <c r="BD359" s="5"/>
      <c r="BE359" s="5"/>
      <c r="BF359" s="5"/>
      <c r="BG359" s="5"/>
    </row>
    <row r="360" customFormat="false" ht="15" hidden="false" customHeight="true" outlineLevel="0" collapsed="false">
      <c r="A360" s="35" t="s">
        <v>27</v>
      </c>
      <c r="B360" s="37"/>
      <c r="C360" s="38"/>
      <c r="D360" s="105"/>
      <c r="E360" s="101"/>
      <c r="F360" s="40"/>
      <c r="G360" s="347"/>
      <c r="H360" s="349"/>
      <c r="I360" s="102"/>
      <c r="J360" s="261"/>
      <c r="K360" s="104" t="n">
        <f aca="false">$I$360+$J$360</f>
        <v>0</v>
      </c>
      <c r="U360" s="222" t="s">
        <v>585</v>
      </c>
      <c r="V360" s="223" t="s">
        <v>589</v>
      </c>
      <c r="W360" s="224" t="n">
        <v>1002</v>
      </c>
      <c r="X360" s="212"/>
      <c r="Y360" s="225"/>
      <c r="Z360" s="225"/>
      <c r="AA360" s="226" t="n">
        <v>329</v>
      </c>
      <c r="AB360" s="227" t="s">
        <v>590</v>
      </c>
      <c r="AC360" s="241" t="n">
        <v>117</v>
      </c>
      <c r="AD360" s="243" t="s">
        <v>591</v>
      </c>
      <c r="AE360" s="229"/>
      <c r="AF360" s="229"/>
      <c r="AG360" s="229"/>
      <c r="AH360" s="238"/>
      <c r="AI360" s="240"/>
      <c r="AJ360" s="229"/>
      <c r="AK360" s="231"/>
      <c r="AL360" s="299"/>
      <c r="AM360" s="299"/>
      <c r="AN360" s="295"/>
      <c r="AO360" s="296"/>
      <c r="AP360" s="229"/>
      <c r="AQ360" s="300"/>
      <c r="AR360" s="278"/>
      <c r="AS360" s="277"/>
      <c r="AT360" s="229"/>
      <c r="AU360" s="229"/>
      <c r="AV360" s="229"/>
      <c r="AW360" s="5"/>
      <c r="AX360" s="5"/>
      <c r="AY360" s="5"/>
      <c r="AZ360" s="5"/>
      <c r="BA360" s="5"/>
      <c r="BB360" s="5"/>
      <c r="BC360" s="5"/>
      <c r="BD360" s="5"/>
      <c r="BE360" s="5"/>
      <c r="BF360" s="5"/>
      <c r="BG360" s="5"/>
    </row>
    <row r="361" customFormat="false" ht="15" hidden="false" customHeight="true" outlineLevel="0" collapsed="false">
      <c r="A361" s="35" t="s">
        <v>28</v>
      </c>
      <c r="B361" s="37"/>
      <c r="C361" s="38"/>
      <c r="D361" s="113"/>
      <c r="E361" s="101"/>
      <c r="F361" s="40"/>
      <c r="G361" s="347"/>
      <c r="H361" s="349"/>
      <c r="I361" s="110"/>
      <c r="J361" s="350"/>
      <c r="K361" s="112" t="n">
        <f aca="false">$I$361+$J$361</f>
        <v>0</v>
      </c>
      <c r="U361" s="222" t="s">
        <v>585</v>
      </c>
      <c r="V361" s="223" t="s">
        <v>592</v>
      </c>
      <c r="W361" s="224" t="n">
        <v>1003</v>
      </c>
      <c r="X361" s="212"/>
      <c r="Y361" s="225"/>
      <c r="Z361" s="225"/>
      <c r="AA361" s="226" t="n">
        <v>330</v>
      </c>
      <c r="AB361" s="227" t="s">
        <v>593</v>
      </c>
      <c r="AC361" s="241" t="n">
        <v>118</v>
      </c>
      <c r="AD361" s="243" t="s">
        <v>594</v>
      </c>
      <c r="AE361" s="229"/>
      <c r="AF361" s="229"/>
      <c r="AG361" s="229"/>
      <c r="AH361" s="238"/>
      <c r="AI361" s="240"/>
      <c r="AJ361" s="229"/>
      <c r="AK361" s="231"/>
      <c r="AL361" s="299"/>
      <c r="AM361" s="299"/>
      <c r="AN361" s="295"/>
      <c r="AO361" s="296"/>
      <c r="AP361" s="229"/>
      <c r="AQ361" s="300"/>
      <c r="AR361" s="278"/>
      <c r="AS361" s="277"/>
      <c r="AT361" s="229"/>
      <c r="AU361" s="229"/>
      <c r="AV361" s="229"/>
      <c r="AW361" s="5"/>
      <c r="AX361" s="5"/>
      <c r="AY361" s="5"/>
      <c r="AZ361" s="5"/>
      <c r="BA361" s="5"/>
      <c r="BB361" s="5"/>
      <c r="BC361" s="5"/>
      <c r="BD361" s="5"/>
      <c r="BE361" s="5"/>
      <c r="BF361" s="5"/>
      <c r="BG361" s="5"/>
    </row>
    <row r="362" customFormat="false" ht="15" hidden="false" customHeight="true" outlineLevel="0" collapsed="false">
      <c r="A362" s="351" t="s">
        <v>17</v>
      </c>
      <c r="B362" s="115"/>
      <c r="C362" s="116"/>
      <c r="D362" s="116"/>
      <c r="E362" s="116"/>
      <c r="F362" s="116"/>
      <c r="G362" s="117"/>
      <c r="H362" s="118"/>
      <c r="I362" s="118" t="n">
        <f aca="false">SUM(I352:I361)</f>
        <v>0</v>
      </c>
      <c r="J362" s="119" t="n">
        <f aca="false">SUM(J352:J361)</f>
        <v>0</v>
      </c>
      <c r="K362" s="95" t="n">
        <f aca="false">SUM(K352:K361)</f>
        <v>0</v>
      </c>
      <c r="U362" s="222" t="s">
        <v>585</v>
      </c>
      <c r="V362" s="223" t="s">
        <v>595</v>
      </c>
      <c r="W362" s="224" t="n">
        <v>1004</v>
      </c>
      <c r="X362" s="212"/>
      <c r="Y362" s="225"/>
      <c r="Z362" s="225"/>
      <c r="AA362" s="226" t="n">
        <v>331</v>
      </c>
      <c r="AB362" s="227" t="s">
        <v>596</v>
      </c>
      <c r="AC362" s="241" t="n">
        <v>119</v>
      </c>
      <c r="AD362" s="243" t="s">
        <v>597</v>
      </c>
      <c r="AE362" s="229"/>
      <c r="AF362" s="229"/>
      <c r="AG362" s="229"/>
      <c r="AH362" s="238"/>
      <c r="AI362" s="240"/>
      <c r="AJ362" s="229"/>
      <c r="AK362" s="231"/>
      <c r="AL362" s="299"/>
      <c r="AM362" s="299"/>
      <c r="AN362" s="295"/>
      <c r="AO362" s="296"/>
      <c r="AP362" s="229"/>
      <c r="AQ362" s="300"/>
      <c r="AR362" s="278"/>
      <c r="AS362" s="277"/>
      <c r="AT362" s="229"/>
      <c r="AU362" s="229"/>
      <c r="AV362" s="229"/>
      <c r="AW362" s="5"/>
      <c r="AX362" s="5"/>
      <c r="AY362" s="5"/>
      <c r="AZ362" s="5"/>
      <c r="BA362" s="5"/>
      <c r="BB362" s="5"/>
      <c r="BC362" s="5"/>
      <c r="BD362" s="5"/>
      <c r="BE362" s="5"/>
      <c r="BF362" s="5"/>
      <c r="BG362" s="5"/>
    </row>
    <row r="363" customFormat="false" ht="15" hidden="false" customHeight="true" outlineLevel="0" collapsed="false">
      <c r="A363" s="122" t="s">
        <v>104</v>
      </c>
      <c r="U363" s="222" t="s">
        <v>585</v>
      </c>
      <c r="V363" s="223" t="s">
        <v>339</v>
      </c>
      <c r="W363" s="224" t="n">
        <v>1005</v>
      </c>
      <c r="X363" s="212"/>
      <c r="Y363" s="225"/>
      <c r="Z363" s="225"/>
      <c r="AA363" s="226" t="n">
        <v>332</v>
      </c>
      <c r="AB363" s="227" t="s">
        <v>598</v>
      </c>
      <c r="AC363" s="241" t="n">
        <v>120</v>
      </c>
      <c r="AD363" s="243" t="s">
        <v>599</v>
      </c>
      <c r="AE363" s="229"/>
      <c r="AF363" s="229"/>
      <c r="AG363" s="229"/>
      <c r="AH363" s="238"/>
      <c r="AI363" s="240"/>
      <c r="AJ363" s="229"/>
      <c r="AK363" s="231"/>
      <c r="AL363" s="299"/>
      <c r="AM363" s="299"/>
      <c r="AN363" s="295"/>
      <c r="AO363" s="296"/>
      <c r="AP363" s="229"/>
      <c r="AQ363" s="300"/>
      <c r="AR363" s="278"/>
      <c r="AS363" s="277"/>
      <c r="AT363" s="229"/>
      <c r="AU363" s="229"/>
      <c r="AV363" s="229"/>
      <c r="AW363" s="5"/>
      <c r="AX363" s="5"/>
      <c r="AY363" s="5"/>
      <c r="AZ363" s="5"/>
      <c r="BA363" s="5"/>
      <c r="BB363" s="5"/>
      <c r="BC363" s="5"/>
      <c r="BD363" s="5"/>
      <c r="BE363" s="5"/>
      <c r="BF363" s="5"/>
      <c r="BG363" s="5"/>
    </row>
    <row r="364" customFormat="false" ht="15" hidden="false" customHeight="true" outlineLevel="0" collapsed="false">
      <c r="A364" s="164" t="s">
        <v>120</v>
      </c>
      <c r="B364" s="73"/>
      <c r="C364" s="73"/>
      <c r="D364" s="73"/>
      <c r="E364" s="73"/>
      <c r="F364" s="73"/>
      <c r="G364" s="73"/>
      <c r="H364" s="73"/>
      <c r="I364" s="73"/>
      <c r="J364" s="73"/>
      <c r="K364" s="73"/>
      <c r="L364" s="352"/>
      <c r="M364" s="73"/>
      <c r="N364" s="73"/>
      <c r="O364" s="73"/>
      <c r="P364" s="73"/>
      <c r="Q364" s="73"/>
      <c r="R364" s="73"/>
      <c r="S364" s="73"/>
      <c r="T364" s="73"/>
      <c r="U364" s="209" t="s">
        <v>585</v>
      </c>
      <c r="V364" s="210" t="s">
        <v>600</v>
      </c>
      <c r="W364" s="211" t="n">
        <v>1007</v>
      </c>
      <c r="X364" s="212"/>
      <c r="Y364" s="213"/>
      <c r="Z364" s="213"/>
      <c r="AA364" s="353" t="n">
        <v>334</v>
      </c>
      <c r="AB364" s="354" t="s">
        <v>601</v>
      </c>
      <c r="AC364" s="214" t="n">
        <v>122</v>
      </c>
      <c r="AD364" s="355" t="s">
        <v>602</v>
      </c>
      <c r="AE364" s="215"/>
      <c r="AF364" s="215"/>
      <c r="AG364" s="215"/>
      <c r="AH364" s="216"/>
      <c r="AI364" s="217"/>
      <c r="AJ364" s="215"/>
      <c r="AK364" s="356"/>
      <c r="AL364" s="299"/>
      <c r="AM364" s="299"/>
      <c r="AN364" s="357"/>
      <c r="AO364" s="358"/>
      <c r="AP364" s="215"/>
      <c r="AQ364" s="359"/>
      <c r="AR364" s="360"/>
      <c r="AS364" s="361"/>
      <c r="AT364" s="215"/>
      <c r="AU364" s="215"/>
      <c r="AV364" s="215"/>
      <c r="AW364" s="201"/>
      <c r="AX364" s="201"/>
      <c r="AY364" s="201"/>
      <c r="AZ364" s="201"/>
      <c r="BA364" s="201"/>
      <c r="BB364" s="201"/>
      <c r="BC364" s="201"/>
      <c r="BD364" s="201"/>
      <c r="BE364" s="201"/>
      <c r="BF364" s="201"/>
      <c r="BG364" s="201"/>
      <c r="BH364" s="201"/>
      <c r="BI364" s="201"/>
      <c r="BJ364" s="201"/>
      <c r="BK364" s="201"/>
      <c r="BL364" s="201"/>
      <c r="BM364" s="201"/>
      <c r="BN364" s="201"/>
      <c r="BO364" s="201"/>
      <c r="BP364" s="201"/>
      <c r="BQ364" s="201"/>
      <c r="BR364" s="201"/>
      <c r="BS364" s="201"/>
      <c r="BT364" s="201"/>
      <c r="BU364" s="201"/>
      <c r="BV364" s="201"/>
      <c r="BW364" s="201"/>
      <c r="BX364" s="201"/>
      <c r="BY364" s="201"/>
      <c r="BZ364" s="201"/>
      <c r="CA364" s="201"/>
      <c r="CB364" s="201"/>
      <c r="CC364" s="201"/>
      <c r="CD364" s="201"/>
      <c r="CE364" s="201"/>
      <c r="CF364" s="201"/>
      <c r="CG364" s="201"/>
      <c r="CH364" s="201"/>
      <c r="CI364" s="201"/>
      <c r="CJ364" s="201"/>
      <c r="CK364" s="201"/>
      <c r="CL364" s="201"/>
      <c r="CM364" s="201"/>
      <c r="CN364" s="201"/>
      <c r="CO364" s="201"/>
      <c r="CP364" s="201"/>
      <c r="CQ364" s="201"/>
      <c r="CR364" s="201"/>
      <c r="CS364" s="201"/>
      <c r="CT364" s="201"/>
      <c r="CU364" s="201"/>
      <c r="CV364" s="201"/>
      <c r="CW364" s="201"/>
      <c r="CX364" s="201"/>
      <c r="CY364" s="201"/>
      <c r="CZ364" s="201"/>
      <c r="DA364" s="201"/>
      <c r="DB364" s="201"/>
      <c r="DC364" s="201"/>
      <c r="DD364" s="201"/>
      <c r="DE364" s="201"/>
      <c r="DF364" s="201"/>
      <c r="DG364" s="201"/>
      <c r="DH364" s="201"/>
      <c r="DI364" s="201"/>
      <c r="DJ364" s="201"/>
      <c r="DK364" s="201"/>
      <c r="DL364" s="201"/>
      <c r="DM364" s="201"/>
      <c r="DN364" s="201"/>
      <c r="DO364" s="201"/>
      <c r="DP364" s="201"/>
      <c r="DQ364" s="201"/>
      <c r="DR364" s="201"/>
      <c r="DS364" s="201"/>
      <c r="DT364" s="201"/>
      <c r="DU364" s="201"/>
      <c r="DV364" s="201"/>
      <c r="DW364" s="201"/>
      <c r="DX364" s="201"/>
      <c r="DY364" s="201"/>
      <c r="DZ364" s="201"/>
      <c r="EA364" s="201"/>
      <c r="EB364" s="201"/>
      <c r="EC364" s="201"/>
      <c r="ED364" s="201"/>
      <c r="EE364" s="201"/>
      <c r="EF364" s="201"/>
      <c r="EG364" s="201"/>
      <c r="EH364" s="201"/>
      <c r="EI364" s="201"/>
      <c r="EJ364" s="201"/>
      <c r="EK364" s="201"/>
      <c r="EL364" s="201"/>
      <c r="EM364" s="201"/>
      <c r="EN364" s="201"/>
      <c r="EO364" s="201"/>
      <c r="EP364" s="201"/>
      <c r="EQ364" s="201"/>
      <c r="ER364" s="201"/>
      <c r="ES364" s="201"/>
      <c r="ET364" s="201"/>
      <c r="EU364" s="201"/>
      <c r="EV364" s="201"/>
      <c r="EW364" s="201"/>
      <c r="EX364" s="201"/>
      <c r="EY364" s="201"/>
      <c r="EZ364" s="201"/>
      <c r="FA364" s="201"/>
      <c r="FB364" s="201"/>
      <c r="FC364" s="201"/>
      <c r="FD364" s="201"/>
      <c r="FE364" s="201"/>
      <c r="FF364" s="201"/>
      <c r="FG364" s="201"/>
      <c r="FH364" s="201"/>
      <c r="FI364" s="201"/>
      <c r="FJ364" s="201"/>
      <c r="FK364" s="201"/>
      <c r="FL364" s="201"/>
      <c r="FM364" s="201"/>
      <c r="FN364" s="201"/>
      <c r="FO364" s="201"/>
      <c r="FP364" s="201"/>
      <c r="FQ364" s="201"/>
      <c r="FR364" s="201"/>
      <c r="FS364" s="201"/>
      <c r="FT364" s="201"/>
      <c r="FU364" s="201"/>
      <c r="FV364" s="201"/>
      <c r="FW364" s="201"/>
      <c r="FX364" s="201"/>
      <c r="FY364" s="201"/>
      <c r="FZ364" s="201"/>
      <c r="GA364" s="201"/>
      <c r="GB364" s="201"/>
      <c r="GC364" s="201"/>
      <c r="GD364" s="201"/>
      <c r="GE364" s="201"/>
      <c r="GF364" s="201"/>
      <c r="GG364" s="201"/>
      <c r="GH364" s="201"/>
      <c r="GI364" s="201"/>
      <c r="GJ364" s="201"/>
      <c r="GK364" s="201"/>
      <c r="GL364" s="201"/>
      <c r="GM364" s="201"/>
      <c r="GN364" s="201"/>
      <c r="GO364" s="201"/>
      <c r="GP364" s="201"/>
      <c r="GQ364" s="201"/>
      <c r="GR364" s="201"/>
      <c r="GS364" s="201"/>
      <c r="GT364" s="201"/>
      <c r="GU364" s="201"/>
      <c r="GV364" s="201"/>
      <c r="GW364" s="201"/>
      <c r="GX364" s="201"/>
      <c r="GY364" s="201"/>
      <c r="GZ364" s="201"/>
      <c r="HA364" s="201"/>
      <c r="HB364" s="201"/>
      <c r="HC364" s="201"/>
      <c r="HD364" s="201"/>
      <c r="HE364" s="201"/>
      <c r="HF364" s="201"/>
      <c r="HG364" s="201"/>
      <c r="HH364" s="201"/>
      <c r="HI364" s="201"/>
      <c r="HJ364" s="201"/>
      <c r="HK364" s="201"/>
      <c r="HL364" s="201"/>
      <c r="HM364" s="201"/>
      <c r="HN364" s="201"/>
      <c r="HO364" s="201"/>
      <c r="HP364" s="201"/>
      <c r="HQ364" s="201"/>
      <c r="HR364" s="201"/>
      <c r="HS364" s="201"/>
      <c r="HT364" s="201"/>
      <c r="HU364" s="201"/>
      <c r="HV364" s="201"/>
      <c r="HW364" s="201"/>
      <c r="HX364" s="201"/>
      <c r="HY364" s="201"/>
      <c r="HZ364" s="201"/>
      <c r="IA364" s="201"/>
      <c r="IB364" s="201"/>
      <c r="IC364" s="201"/>
      <c r="ID364" s="201"/>
      <c r="IE364" s="201"/>
      <c r="IF364" s="201"/>
      <c r="IG364" s="201"/>
      <c r="IH364" s="201"/>
      <c r="II364" s="201"/>
      <c r="IJ364" s="201"/>
      <c r="IK364" s="201"/>
      <c r="IL364" s="201"/>
      <c r="IM364" s="201"/>
      <c r="IN364" s="201"/>
      <c r="IO364" s="201"/>
      <c r="IP364" s="201"/>
      <c r="IQ364" s="201"/>
      <c r="IR364" s="201"/>
      <c r="IS364" s="201"/>
      <c r="IT364" s="201"/>
      <c r="IU364" s="201"/>
      <c r="IV364" s="201"/>
      <c r="IW364" s="201"/>
    </row>
    <row r="365" customFormat="false" ht="15" hidden="false" customHeight="true" outlineLevel="0" collapsed="false">
      <c r="A365" s="362"/>
      <c r="U365" s="222" t="s">
        <v>585</v>
      </c>
      <c r="V365" s="223" t="s">
        <v>603</v>
      </c>
      <c r="W365" s="224" t="n">
        <v>1008</v>
      </c>
      <c r="X365" s="212"/>
      <c r="Y365" s="225"/>
      <c r="Z365" s="225"/>
      <c r="AA365" s="226" t="n">
        <v>335</v>
      </c>
      <c r="AB365" s="227" t="s">
        <v>604</v>
      </c>
      <c r="AC365" s="241" t="n">
        <v>123</v>
      </c>
      <c r="AD365" s="243" t="s">
        <v>605</v>
      </c>
      <c r="AE365" s="229"/>
      <c r="AF365" s="229"/>
      <c r="AG365" s="229"/>
      <c r="AH365" s="238"/>
      <c r="AI365" s="240"/>
      <c r="AJ365" s="229"/>
      <c r="AK365" s="231"/>
      <c r="AL365" s="299"/>
      <c r="AM365" s="299"/>
      <c r="AN365" s="295"/>
      <c r="AO365" s="296"/>
      <c r="AP365" s="229"/>
      <c r="AQ365" s="300"/>
      <c r="AR365" s="278"/>
      <c r="AS365" s="277"/>
      <c r="AT365" s="229"/>
      <c r="AU365" s="229"/>
      <c r="AV365" s="229"/>
      <c r="AW365" s="5"/>
      <c r="AX365" s="5"/>
      <c r="AY365" s="5"/>
      <c r="AZ365" s="5"/>
      <c r="BA365" s="5"/>
      <c r="BB365" s="5"/>
      <c r="BC365" s="5"/>
      <c r="BD365" s="5"/>
      <c r="BE365" s="5"/>
      <c r="BF365" s="5"/>
      <c r="BG365" s="5"/>
    </row>
    <row r="366" customFormat="false" ht="15" hidden="false" customHeight="true" outlineLevel="0" collapsed="false">
      <c r="A366" s="8" t="s">
        <v>606</v>
      </c>
      <c r="B366" s="8"/>
      <c r="C366" s="8"/>
      <c r="D366" s="8"/>
      <c r="E366" s="8"/>
      <c r="F366" s="8"/>
      <c r="G366" s="8"/>
      <c r="U366" s="222" t="s">
        <v>585</v>
      </c>
      <c r="V366" s="223" t="s">
        <v>607</v>
      </c>
      <c r="W366" s="224" t="n">
        <v>1009</v>
      </c>
      <c r="X366" s="212"/>
      <c r="Y366" s="225" t="n">
        <v>4</v>
      </c>
      <c r="Z366" s="225" t="s">
        <v>608</v>
      </c>
      <c r="AA366" s="226" t="n">
        <v>401</v>
      </c>
      <c r="AB366" s="227" t="s">
        <v>609</v>
      </c>
      <c r="AC366" s="241" t="n">
        <v>124</v>
      </c>
      <c r="AD366" s="243" t="s">
        <v>610</v>
      </c>
      <c r="AE366" s="229"/>
      <c r="AF366" s="229"/>
      <c r="AG366" s="229"/>
      <c r="AH366" s="238"/>
      <c r="AI366" s="240"/>
      <c r="AJ366" s="229"/>
      <c r="AK366" s="231"/>
      <c r="AL366" s="299"/>
      <c r="AM366" s="299"/>
      <c r="AN366" s="295"/>
      <c r="AO366" s="296"/>
      <c r="AP366" s="229"/>
      <c r="AQ366" s="300"/>
      <c r="AR366" s="278"/>
      <c r="AS366" s="277"/>
      <c r="AT366" s="229"/>
      <c r="AU366" s="229"/>
      <c r="AV366" s="229"/>
      <c r="AW366" s="5"/>
      <c r="AX366" s="5"/>
      <c r="AY366" s="5"/>
      <c r="AZ366" s="5"/>
      <c r="BA366" s="5"/>
      <c r="BB366" s="5"/>
      <c r="BC366" s="5"/>
      <c r="BD366" s="5"/>
      <c r="BE366" s="5"/>
      <c r="BF366" s="5"/>
      <c r="BG366" s="5"/>
    </row>
    <row r="367" customFormat="false" ht="15" hidden="false" customHeight="true" outlineLevel="0" collapsed="false">
      <c r="A367" s="88" t="s">
        <v>3</v>
      </c>
      <c r="B367" s="89" t="s">
        <v>5</v>
      </c>
      <c r="C367" s="89"/>
      <c r="D367" s="257" t="s">
        <v>6</v>
      </c>
      <c r="E367" s="363" t="s">
        <v>92</v>
      </c>
      <c r="F367" s="88" t="s">
        <v>611</v>
      </c>
      <c r="G367" s="257" t="s">
        <v>612</v>
      </c>
      <c r="H367" s="364" t="s">
        <v>613</v>
      </c>
      <c r="I367" s="363" t="s">
        <v>614</v>
      </c>
      <c r="J367" s="89" t="s">
        <v>615</v>
      </c>
      <c r="K367" s="88" t="s">
        <v>10</v>
      </c>
      <c r="L367" s="92" t="s">
        <v>83</v>
      </c>
      <c r="M367" s="92"/>
      <c r="N367" s="92"/>
      <c r="O367" s="88" t="s">
        <v>84</v>
      </c>
      <c r="P367" s="88"/>
      <c r="Q367" s="88"/>
      <c r="R367" s="88" t="s">
        <v>85</v>
      </c>
      <c r="S367" s="88"/>
      <c r="T367" s="88"/>
      <c r="U367" s="222" t="s">
        <v>585</v>
      </c>
      <c r="V367" s="223" t="s">
        <v>616</v>
      </c>
      <c r="W367" s="224" t="n">
        <v>1010</v>
      </c>
      <c r="X367" s="212"/>
      <c r="Y367" s="225"/>
      <c r="Z367" s="225"/>
      <c r="AA367" s="226" t="n">
        <v>402</v>
      </c>
      <c r="AB367" s="227" t="s">
        <v>617</v>
      </c>
      <c r="AC367" s="241" t="n">
        <v>125</v>
      </c>
      <c r="AD367" s="243" t="s">
        <v>618</v>
      </c>
      <c r="AE367" s="229"/>
      <c r="AF367" s="229"/>
      <c r="AG367" s="229"/>
      <c r="AH367" s="238"/>
      <c r="AI367" s="240"/>
      <c r="AJ367" s="229"/>
      <c r="AK367" s="231"/>
      <c r="AL367" s="299"/>
      <c r="AM367" s="299"/>
      <c r="AN367" s="295"/>
      <c r="AO367" s="296"/>
      <c r="AP367" s="229"/>
      <c r="AQ367" s="300"/>
      <c r="AR367" s="278"/>
      <c r="AS367" s="277"/>
      <c r="AT367" s="229"/>
      <c r="AU367" s="229"/>
      <c r="AV367" s="229"/>
      <c r="AW367" s="5"/>
      <c r="AX367" s="5"/>
      <c r="AY367" s="5"/>
      <c r="AZ367" s="5"/>
      <c r="BA367" s="5"/>
      <c r="BB367" s="5"/>
      <c r="BC367" s="5"/>
      <c r="BD367" s="5"/>
      <c r="BE367" s="5"/>
      <c r="BF367" s="5"/>
      <c r="BG367" s="5"/>
    </row>
    <row r="368" customFormat="false" ht="15" hidden="false" customHeight="true" outlineLevel="0" collapsed="false">
      <c r="A368" s="88"/>
      <c r="B368" s="89" t="s">
        <v>102</v>
      </c>
      <c r="C368" s="89" t="s">
        <v>103</v>
      </c>
      <c r="D368" s="257"/>
      <c r="E368" s="363"/>
      <c r="F368" s="88"/>
      <c r="G368" s="257"/>
      <c r="H368" s="364"/>
      <c r="I368" s="363"/>
      <c r="J368" s="89"/>
      <c r="K368" s="88"/>
      <c r="L368" s="92" t="s">
        <v>15</v>
      </c>
      <c r="M368" s="90" t="s">
        <v>16</v>
      </c>
      <c r="N368" s="95" t="s">
        <v>17</v>
      </c>
      <c r="O368" s="88" t="s">
        <v>15</v>
      </c>
      <c r="P368" s="90" t="s">
        <v>16</v>
      </c>
      <c r="Q368" s="95" t="s">
        <v>17</v>
      </c>
      <c r="R368" s="92" t="s">
        <v>15</v>
      </c>
      <c r="S368" s="90" t="s">
        <v>16</v>
      </c>
      <c r="T368" s="95" t="s">
        <v>17</v>
      </c>
      <c r="U368" s="222" t="s">
        <v>585</v>
      </c>
      <c r="V368" s="223" t="s">
        <v>344</v>
      </c>
      <c r="W368" s="224" t="n">
        <v>1011</v>
      </c>
      <c r="X368" s="212"/>
      <c r="Y368" s="225"/>
      <c r="Z368" s="225"/>
      <c r="AA368" s="226" t="n">
        <v>403</v>
      </c>
      <c r="AB368" s="227" t="s">
        <v>619</v>
      </c>
      <c r="AC368" s="241" t="n">
        <v>126</v>
      </c>
      <c r="AD368" s="243" t="s">
        <v>620</v>
      </c>
      <c r="AE368" s="229"/>
      <c r="AF368" s="229"/>
      <c r="AG368" s="229"/>
      <c r="AH368" s="238"/>
      <c r="AI368" s="240"/>
      <c r="AJ368" s="229"/>
      <c r="AK368" s="231"/>
      <c r="AL368" s="299"/>
      <c r="AM368" s="299"/>
      <c r="AN368" s="295"/>
      <c r="AO368" s="296"/>
      <c r="AP368" s="229"/>
      <c r="AQ368" s="300"/>
      <c r="AR368" s="278"/>
      <c r="AS368" s="277"/>
      <c r="AT368" s="229"/>
      <c r="AU368" s="229"/>
      <c r="AV368" s="229"/>
      <c r="AW368" s="5"/>
      <c r="AX368" s="5"/>
      <c r="AY368" s="5"/>
      <c r="AZ368" s="5"/>
      <c r="BA368" s="5"/>
      <c r="BB368" s="5"/>
      <c r="BC368" s="5"/>
      <c r="BD368" s="5"/>
      <c r="BE368" s="5"/>
      <c r="BF368" s="5"/>
      <c r="BG368" s="5"/>
    </row>
    <row r="369" customFormat="false" ht="15" hidden="false" customHeight="true" outlineLevel="0" collapsed="false">
      <c r="A369" s="22" t="s">
        <v>19</v>
      </c>
      <c r="B369" s="24"/>
      <c r="C369" s="25"/>
      <c r="D369" s="97"/>
      <c r="E369" s="365"/>
      <c r="F369" s="96"/>
      <c r="G369" s="366"/>
      <c r="H369" s="367"/>
      <c r="I369" s="100"/>
      <c r="J369" s="146"/>
      <c r="K369" s="368"/>
      <c r="L369" s="100"/>
      <c r="M369" s="98"/>
      <c r="N369" s="99" t="n">
        <f aca="false">$L$369+$M$369</f>
        <v>0</v>
      </c>
      <c r="O369" s="97"/>
      <c r="P369" s="98"/>
      <c r="Q369" s="99" t="n">
        <f aca="false">$O$369+$P$369</f>
        <v>0</v>
      </c>
      <c r="R369" s="100"/>
      <c r="S369" s="98"/>
      <c r="T369" s="99" t="n">
        <f aca="false">$R$369+$S$369</f>
        <v>0</v>
      </c>
      <c r="U369" s="222" t="s">
        <v>585</v>
      </c>
      <c r="V369" s="223" t="s">
        <v>621</v>
      </c>
      <c r="W369" s="224" t="n">
        <v>1012</v>
      </c>
      <c r="X369" s="212"/>
      <c r="Y369" s="225"/>
      <c r="Z369" s="225"/>
      <c r="AA369" s="226" t="n">
        <v>404</v>
      </c>
      <c r="AB369" s="227" t="s">
        <v>622</v>
      </c>
      <c r="AC369" s="241" t="n">
        <v>127</v>
      </c>
      <c r="AD369" s="243" t="s">
        <v>623</v>
      </c>
      <c r="AE369" s="229"/>
      <c r="AF369" s="229"/>
      <c r="AG369" s="229"/>
      <c r="AH369" s="238"/>
      <c r="AI369" s="240"/>
      <c r="AJ369" s="229"/>
      <c r="AK369" s="231"/>
      <c r="AL369" s="299"/>
      <c r="AM369" s="299"/>
      <c r="AN369" s="295"/>
      <c r="AO369" s="296"/>
      <c r="AP369" s="229"/>
      <c r="AQ369" s="300"/>
      <c r="AR369" s="278"/>
      <c r="AS369" s="277"/>
      <c r="AT369" s="229"/>
      <c r="AU369" s="229"/>
      <c r="AV369" s="229"/>
      <c r="AW369" s="5"/>
      <c r="AX369" s="5"/>
      <c r="AY369" s="5"/>
      <c r="AZ369" s="5"/>
      <c r="BA369" s="5"/>
      <c r="BB369" s="5"/>
      <c r="BC369" s="5"/>
      <c r="BD369" s="5"/>
      <c r="BE369" s="5"/>
      <c r="BF369" s="5"/>
      <c r="BG369" s="5"/>
    </row>
    <row r="370" customFormat="false" ht="15" hidden="false" customHeight="true" outlineLevel="0" collapsed="false">
      <c r="A370" s="35" t="s">
        <v>20</v>
      </c>
      <c r="B370" s="37"/>
      <c r="C370" s="38"/>
      <c r="D370" s="102"/>
      <c r="E370" s="369"/>
      <c r="F370" s="101"/>
      <c r="G370" s="370"/>
      <c r="H370" s="371"/>
      <c r="I370" s="105"/>
      <c r="J370" s="150"/>
      <c r="K370" s="368"/>
      <c r="L370" s="105"/>
      <c r="M370" s="103"/>
      <c r="N370" s="104" t="n">
        <f aca="false">$L$370+$M$370</f>
        <v>0</v>
      </c>
      <c r="O370" s="102"/>
      <c r="P370" s="103"/>
      <c r="Q370" s="104" t="n">
        <f aca="false">$O$370+$P$370</f>
        <v>0</v>
      </c>
      <c r="R370" s="105"/>
      <c r="S370" s="103"/>
      <c r="T370" s="104" t="n">
        <f aca="false">$R$370+$S$370</f>
        <v>0</v>
      </c>
      <c r="U370" s="222" t="s">
        <v>585</v>
      </c>
      <c r="V370" s="223" t="s">
        <v>624</v>
      </c>
      <c r="W370" s="224" t="n">
        <v>1013</v>
      </c>
      <c r="X370" s="212"/>
      <c r="Y370" s="225"/>
      <c r="Z370" s="225"/>
      <c r="AA370" s="226" t="n">
        <v>405</v>
      </c>
      <c r="AB370" s="227" t="s">
        <v>625</v>
      </c>
      <c r="AC370" s="241" t="n">
        <v>128</v>
      </c>
      <c r="AD370" s="243" t="s">
        <v>626</v>
      </c>
      <c r="AE370" s="229"/>
      <c r="AF370" s="229"/>
      <c r="AG370" s="229"/>
      <c r="AH370" s="238"/>
      <c r="AI370" s="240"/>
      <c r="AJ370" s="229"/>
      <c r="AK370" s="231"/>
      <c r="AL370" s="299"/>
      <c r="AM370" s="299"/>
      <c r="AN370" s="295"/>
      <c r="AO370" s="296"/>
      <c r="AP370" s="229"/>
      <c r="AQ370" s="300"/>
      <c r="AR370" s="278"/>
      <c r="AS370" s="277"/>
      <c r="AT370" s="229"/>
      <c r="AU370" s="229"/>
      <c r="AV370" s="229"/>
      <c r="AW370" s="5"/>
      <c r="AX370" s="5"/>
      <c r="AY370" s="5"/>
      <c r="AZ370" s="5"/>
      <c r="BA370" s="5"/>
      <c r="BB370" s="5"/>
      <c r="BC370" s="5"/>
      <c r="BD370" s="5"/>
      <c r="BE370" s="5"/>
      <c r="BF370" s="5"/>
      <c r="BG370" s="5"/>
    </row>
    <row r="371" customFormat="false" ht="15" hidden="false" customHeight="true" outlineLevel="0" collapsed="false">
      <c r="A371" s="35" t="s">
        <v>21</v>
      </c>
      <c r="B371" s="37"/>
      <c r="C371" s="38"/>
      <c r="D371" s="102"/>
      <c r="E371" s="369"/>
      <c r="F371" s="101"/>
      <c r="G371" s="370"/>
      <c r="H371" s="371"/>
      <c r="I371" s="105"/>
      <c r="J371" s="150"/>
      <c r="K371" s="368"/>
      <c r="L371" s="105"/>
      <c r="M371" s="103"/>
      <c r="N371" s="104" t="n">
        <f aca="false">$L$371+$M$371</f>
        <v>0</v>
      </c>
      <c r="O371" s="102"/>
      <c r="P371" s="103"/>
      <c r="Q371" s="104" t="n">
        <f aca="false">$O$371+$P$371</f>
        <v>0</v>
      </c>
      <c r="R371" s="105"/>
      <c r="S371" s="103"/>
      <c r="T371" s="104" t="n">
        <f aca="false">$R$371+$S$371</f>
        <v>0</v>
      </c>
      <c r="U371" s="222" t="s">
        <v>585</v>
      </c>
      <c r="V371" s="223" t="s">
        <v>624</v>
      </c>
      <c r="W371" s="224" t="n">
        <v>1014</v>
      </c>
      <c r="X371" s="212"/>
      <c r="Y371" s="225"/>
      <c r="Z371" s="225"/>
      <c r="AA371" s="226" t="n">
        <v>406</v>
      </c>
      <c r="AB371" s="227" t="s">
        <v>627</v>
      </c>
      <c r="AC371" s="241" t="n">
        <v>129</v>
      </c>
      <c r="AD371" s="243" t="s">
        <v>628</v>
      </c>
      <c r="AE371" s="229"/>
      <c r="AF371" s="229"/>
      <c r="AG371" s="229"/>
      <c r="AH371" s="238"/>
      <c r="AI371" s="240"/>
      <c r="AJ371" s="229"/>
      <c r="AK371" s="231"/>
      <c r="AL371" s="299"/>
      <c r="AM371" s="299"/>
      <c r="AN371" s="295"/>
      <c r="AO371" s="296"/>
      <c r="AP371" s="229"/>
      <c r="AQ371" s="300"/>
      <c r="AR371" s="278"/>
      <c r="AS371" s="277"/>
      <c r="AT371" s="229"/>
      <c r="AU371" s="229"/>
      <c r="AV371" s="229"/>
      <c r="AW371" s="5"/>
      <c r="AX371" s="5"/>
      <c r="AY371" s="5"/>
      <c r="AZ371" s="5"/>
      <c r="BA371" s="5"/>
      <c r="BB371" s="5"/>
      <c r="BC371" s="5"/>
      <c r="BD371" s="5"/>
      <c r="BE371" s="5"/>
      <c r="BF371" s="5"/>
      <c r="BG371" s="5"/>
    </row>
    <row r="372" customFormat="false" ht="15" hidden="false" customHeight="true" outlineLevel="0" collapsed="false">
      <c r="A372" s="35" t="s">
        <v>22</v>
      </c>
      <c r="B372" s="37"/>
      <c r="C372" s="38"/>
      <c r="D372" s="102"/>
      <c r="E372" s="369"/>
      <c r="F372" s="101"/>
      <c r="G372" s="370"/>
      <c r="H372" s="371"/>
      <c r="I372" s="105"/>
      <c r="J372" s="150"/>
      <c r="K372" s="368"/>
      <c r="L372" s="105"/>
      <c r="M372" s="103"/>
      <c r="N372" s="104" t="n">
        <f aca="false">$L$372+$M$372</f>
        <v>0</v>
      </c>
      <c r="O372" s="102"/>
      <c r="P372" s="103"/>
      <c r="Q372" s="104" t="n">
        <f aca="false">$O$372+$P$372</f>
        <v>0</v>
      </c>
      <c r="R372" s="105"/>
      <c r="S372" s="103"/>
      <c r="T372" s="104" t="n">
        <f aca="false">$R$372+$S$372</f>
        <v>0</v>
      </c>
      <c r="U372" s="222" t="s">
        <v>585</v>
      </c>
      <c r="V372" s="223" t="s">
        <v>629</v>
      </c>
      <c r="W372" s="224" t="n">
        <v>1015</v>
      </c>
      <c r="X372" s="212"/>
      <c r="Y372" s="225"/>
      <c r="Z372" s="225"/>
      <c r="AA372" s="226" t="n">
        <v>407</v>
      </c>
      <c r="AB372" s="227" t="s">
        <v>630</v>
      </c>
      <c r="AC372" s="241" t="n">
        <v>130</v>
      </c>
      <c r="AD372" s="243" t="s">
        <v>631</v>
      </c>
      <c r="AE372" s="229"/>
      <c r="AF372" s="229"/>
      <c r="AG372" s="229"/>
      <c r="AH372" s="238"/>
      <c r="AI372" s="240"/>
      <c r="AJ372" s="229"/>
      <c r="AK372" s="231"/>
      <c r="AL372" s="299"/>
      <c r="AM372" s="299"/>
      <c r="AN372" s="295"/>
      <c r="AO372" s="296"/>
      <c r="AP372" s="229"/>
      <c r="AQ372" s="300"/>
      <c r="AR372" s="278"/>
      <c r="AS372" s="277"/>
      <c r="AT372" s="229"/>
      <c r="AU372" s="229"/>
      <c r="AV372" s="229"/>
      <c r="AW372" s="5"/>
      <c r="AX372" s="5"/>
      <c r="AY372" s="5"/>
      <c r="AZ372" s="5"/>
      <c r="BA372" s="5"/>
      <c r="BB372" s="5"/>
      <c r="BC372" s="5"/>
      <c r="BD372" s="5"/>
      <c r="BE372" s="5"/>
      <c r="BF372" s="5"/>
      <c r="BG372" s="5"/>
    </row>
    <row r="373" customFormat="false" ht="15" hidden="false" customHeight="true" outlineLevel="0" collapsed="false">
      <c r="A373" s="35" t="s">
        <v>23</v>
      </c>
      <c r="B373" s="37"/>
      <c r="C373" s="38"/>
      <c r="D373" s="102"/>
      <c r="E373" s="369"/>
      <c r="F373" s="101"/>
      <c r="G373" s="370"/>
      <c r="H373" s="371"/>
      <c r="I373" s="105"/>
      <c r="J373" s="150"/>
      <c r="K373" s="368"/>
      <c r="L373" s="105"/>
      <c r="M373" s="103"/>
      <c r="N373" s="104" t="n">
        <f aca="false">$L$373+$M$373</f>
        <v>0</v>
      </c>
      <c r="O373" s="102"/>
      <c r="P373" s="103"/>
      <c r="Q373" s="104" t="n">
        <f aca="false">$O$373+$P$373</f>
        <v>0</v>
      </c>
      <c r="R373" s="105"/>
      <c r="S373" s="103"/>
      <c r="T373" s="104" t="n">
        <f aca="false">$R$373+$S$373</f>
        <v>0</v>
      </c>
      <c r="U373" s="222" t="s">
        <v>585</v>
      </c>
      <c r="V373" s="223" t="s">
        <v>632</v>
      </c>
      <c r="W373" s="224" t="n">
        <v>1016</v>
      </c>
      <c r="X373" s="212"/>
      <c r="Y373" s="225"/>
      <c r="Z373" s="225"/>
      <c r="AA373" s="226" t="n">
        <v>408</v>
      </c>
      <c r="AB373" s="227" t="s">
        <v>633</v>
      </c>
      <c r="AC373" s="241" t="n">
        <v>131</v>
      </c>
      <c r="AD373" s="243" t="s">
        <v>634</v>
      </c>
      <c r="AE373" s="229"/>
      <c r="AF373" s="229"/>
      <c r="AG373" s="229"/>
      <c r="AH373" s="238"/>
      <c r="AI373" s="240"/>
      <c r="AJ373" s="229"/>
      <c r="AK373" s="231"/>
      <c r="AL373" s="299"/>
      <c r="AM373" s="299"/>
      <c r="AN373" s="295"/>
      <c r="AO373" s="296"/>
      <c r="AP373" s="229"/>
      <c r="AQ373" s="300"/>
      <c r="AR373" s="278"/>
      <c r="AS373" s="277"/>
      <c r="AT373" s="229"/>
      <c r="AU373" s="229"/>
      <c r="AV373" s="229"/>
      <c r="AW373" s="5"/>
      <c r="AX373" s="5"/>
      <c r="AY373" s="5"/>
      <c r="AZ373" s="5"/>
      <c r="BA373" s="5"/>
      <c r="BB373" s="5"/>
      <c r="BC373" s="5"/>
      <c r="BD373" s="5"/>
      <c r="BE373" s="5"/>
      <c r="BF373" s="5"/>
      <c r="BG373" s="5"/>
    </row>
    <row r="374" customFormat="false" ht="15" hidden="false" customHeight="true" outlineLevel="0" collapsed="false">
      <c r="A374" s="35" t="s">
        <v>24</v>
      </c>
      <c r="B374" s="37"/>
      <c r="C374" s="38"/>
      <c r="D374" s="102"/>
      <c r="E374" s="369"/>
      <c r="F374" s="101"/>
      <c r="G374" s="370"/>
      <c r="H374" s="371"/>
      <c r="I374" s="105"/>
      <c r="J374" s="150"/>
      <c r="K374" s="368"/>
      <c r="L374" s="105"/>
      <c r="M374" s="103"/>
      <c r="N374" s="104" t="n">
        <f aca="false">$L$374+$M$374</f>
        <v>0</v>
      </c>
      <c r="O374" s="102"/>
      <c r="P374" s="103"/>
      <c r="Q374" s="104" t="n">
        <f aca="false">$O$374+$P$374</f>
        <v>0</v>
      </c>
      <c r="R374" s="105"/>
      <c r="S374" s="103"/>
      <c r="T374" s="104" t="n">
        <f aca="false">$R$374+$S$374</f>
        <v>0</v>
      </c>
      <c r="U374" s="222" t="s">
        <v>585</v>
      </c>
      <c r="V374" s="223" t="s">
        <v>635</v>
      </c>
      <c r="W374" s="224" t="n">
        <v>1017</v>
      </c>
      <c r="X374" s="212"/>
      <c r="Y374" s="225"/>
      <c r="Z374" s="225"/>
      <c r="AA374" s="226" t="n">
        <v>409</v>
      </c>
      <c r="AB374" s="227" t="s">
        <v>636</v>
      </c>
      <c r="AC374" s="241" t="n">
        <v>132</v>
      </c>
      <c r="AD374" s="243" t="s">
        <v>637</v>
      </c>
      <c r="AE374" s="229"/>
      <c r="AF374" s="229"/>
      <c r="AG374" s="229"/>
      <c r="AH374" s="238"/>
      <c r="AI374" s="240"/>
      <c r="AJ374" s="229"/>
      <c r="AK374" s="231"/>
      <c r="AL374" s="299"/>
      <c r="AM374" s="299"/>
      <c r="AN374" s="295"/>
      <c r="AO374" s="296"/>
      <c r="AP374" s="229"/>
      <c r="AQ374" s="300"/>
      <c r="AR374" s="278"/>
      <c r="AS374" s="277"/>
      <c r="AT374" s="229"/>
      <c r="AU374" s="229"/>
      <c r="AV374" s="229"/>
      <c r="AW374" s="5"/>
      <c r="AX374" s="5"/>
      <c r="AY374" s="5"/>
      <c r="AZ374" s="5"/>
      <c r="BA374" s="5"/>
      <c r="BB374" s="5"/>
      <c r="BC374" s="5"/>
      <c r="BD374" s="5"/>
      <c r="BE374" s="5"/>
      <c r="BF374" s="5"/>
      <c r="BG374" s="5"/>
    </row>
    <row r="375" customFormat="false" ht="15" hidden="false" customHeight="true" outlineLevel="0" collapsed="false">
      <c r="A375" s="35" t="s">
        <v>25</v>
      </c>
      <c r="B375" s="37"/>
      <c r="C375" s="38"/>
      <c r="D375" s="102"/>
      <c r="E375" s="369"/>
      <c r="F375" s="101"/>
      <c r="G375" s="370"/>
      <c r="H375" s="371"/>
      <c r="I375" s="105"/>
      <c r="J375" s="150"/>
      <c r="K375" s="368"/>
      <c r="L375" s="105"/>
      <c r="M375" s="103"/>
      <c r="N375" s="104" t="n">
        <f aca="false">$L$375+$M$375</f>
        <v>0</v>
      </c>
      <c r="O375" s="102"/>
      <c r="P375" s="103"/>
      <c r="Q375" s="104" t="n">
        <f aca="false">$O$375+$P$375</f>
        <v>0</v>
      </c>
      <c r="R375" s="105"/>
      <c r="S375" s="103"/>
      <c r="T375" s="104" t="n">
        <f aca="false">$R$375+$S$375</f>
        <v>0</v>
      </c>
      <c r="U375" s="222" t="s">
        <v>189</v>
      </c>
      <c r="V375" s="223" t="s">
        <v>353</v>
      </c>
      <c r="W375" s="224" t="n">
        <v>1101</v>
      </c>
      <c r="X375" s="212"/>
      <c r="Y375" s="225"/>
      <c r="Z375" s="225"/>
      <c r="AA375" s="226" t="n">
        <v>410</v>
      </c>
      <c r="AB375" s="227" t="s">
        <v>638</v>
      </c>
      <c r="AC375" s="241" t="n">
        <v>133</v>
      </c>
      <c r="AD375" s="243" t="s">
        <v>639</v>
      </c>
      <c r="AE375" s="229"/>
      <c r="AF375" s="229"/>
      <c r="AG375" s="229"/>
      <c r="AH375" s="238"/>
      <c r="AI375" s="240"/>
      <c r="AJ375" s="229"/>
      <c r="AK375" s="231"/>
      <c r="AL375" s="299"/>
      <c r="AM375" s="299"/>
      <c r="AN375" s="295"/>
      <c r="AO375" s="296"/>
      <c r="AP375" s="229"/>
      <c r="AQ375" s="300"/>
      <c r="AR375" s="278"/>
      <c r="AS375" s="277"/>
      <c r="AT375" s="229"/>
      <c r="AU375" s="229"/>
      <c r="AV375" s="229"/>
      <c r="AW375" s="5"/>
      <c r="AX375" s="5"/>
      <c r="AY375" s="5"/>
      <c r="AZ375" s="5"/>
      <c r="BA375" s="5"/>
      <c r="BB375" s="5"/>
      <c r="BC375" s="5"/>
      <c r="BD375" s="5"/>
      <c r="BE375" s="5"/>
      <c r="BF375" s="5"/>
      <c r="BG375" s="5"/>
    </row>
    <row r="376" customFormat="false" ht="15" hidden="false" customHeight="true" outlineLevel="0" collapsed="false">
      <c r="A376" s="35" t="s">
        <v>26</v>
      </c>
      <c r="B376" s="37"/>
      <c r="C376" s="38"/>
      <c r="D376" s="102"/>
      <c r="E376" s="369"/>
      <c r="F376" s="101"/>
      <c r="G376" s="370"/>
      <c r="H376" s="371"/>
      <c r="I376" s="105"/>
      <c r="J376" s="150"/>
      <c r="K376" s="368"/>
      <c r="L376" s="105"/>
      <c r="M376" s="103"/>
      <c r="N376" s="104" t="n">
        <f aca="false">$L$376+$M$376</f>
        <v>0</v>
      </c>
      <c r="O376" s="102"/>
      <c r="P376" s="103"/>
      <c r="Q376" s="104" t="n">
        <f aca="false">$O$376+$P$376</f>
        <v>0</v>
      </c>
      <c r="R376" s="105"/>
      <c r="S376" s="103"/>
      <c r="T376" s="104" t="n">
        <f aca="false">$R$376+$S$376</f>
        <v>0</v>
      </c>
      <c r="U376" s="222" t="s">
        <v>189</v>
      </c>
      <c r="V376" s="223" t="s">
        <v>640</v>
      </c>
      <c r="W376" s="224" t="n">
        <v>1102</v>
      </c>
      <c r="X376" s="212"/>
      <c r="Y376" s="225"/>
      <c r="Z376" s="225"/>
      <c r="AA376" s="226" t="n">
        <v>411</v>
      </c>
      <c r="AB376" s="227" t="s">
        <v>641</v>
      </c>
      <c r="AC376" s="241" t="n">
        <v>134</v>
      </c>
      <c r="AD376" s="243" t="s">
        <v>642</v>
      </c>
      <c r="AE376" s="229"/>
      <c r="AF376" s="229"/>
      <c r="AG376" s="229"/>
      <c r="AH376" s="238"/>
      <c r="AI376" s="240"/>
      <c r="AJ376" s="229"/>
      <c r="AK376" s="231"/>
      <c r="AL376" s="299"/>
      <c r="AM376" s="299"/>
      <c r="AN376" s="295"/>
      <c r="AO376" s="296"/>
      <c r="AP376" s="229"/>
      <c r="AQ376" s="300"/>
      <c r="AR376" s="278"/>
      <c r="AS376" s="277"/>
      <c r="AT376" s="229"/>
      <c r="AU376" s="229"/>
      <c r="AV376" s="229"/>
      <c r="AW376" s="5"/>
      <c r="AX376" s="5"/>
      <c r="AY376" s="5"/>
      <c r="AZ376" s="5"/>
      <c r="BA376" s="5"/>
      <c r="BB376" s="5"/>
      <c r="BC376" s="5"/>
      <c r="BD376" s="5"/>
      <c r="BE376" s="5"/>
      <c r="BF376" s="5"/>
      <c r="BG376" s="5"/>
    </row>
    <row r="377" customFormat="false" ht="15" hidden="false" customHeight="true" outlineLevel="0" collapsed="false">
      <c r="A377" s="35" t="s">
        <v>27</v>
      </c>
      <c r="B377" s="37"/>
      <c r="C377" s="38"/>
      <c r="D377" s="102"/>
      <c r="E377" s="369"/>
      <c r="F377" s="101"/>
      <c r="G377" s="370"/>
      <c r="H377" s="371"/>
      <c r="I377" s="105"/>
      <c r="J377" s="150"/>
      <c r="K377" s="368"/>
      <c r="L377" s="105"/>
      <c r="M377" s="103"/>
      <c r="N377" s="104" t="n">
        <f aca="false">$L$377+$M$377</f>
        <v>0</v>
      </c>
      <c r="O377" s="102"/>
      <c r="P377" s="103"/>
      <c r="Q377" s="104" t="n">
        <f aca="false">$O$377+$P$377</f>
        <v>0</v>
      </c>
      <c r="R377" s="105"/>
      <c r="S377" s="103"/>
      <c r="T377" s="104" t="n">
        <f aca="false">$R$377+$S$377</f>
        <v>0</v>
      </c>
      <c r="U377" s="222" t="s">
        <v>189</v>
      </c>
      <c r="V377" s="223" t="s">
        <v>643</v>
      </c>
      <c r="W377" s="224" t="n">
        <v>1103</v>
      </c>
      <c r="X377" s="212"/>
      <c r="Y377" s="225"/>
      <c r="Z377" s="225"/>
      <c r="AA377" s="226" t="n">
        <v>412</v>
      </c>
      <c r="AB377" s="227" t="s">
        <v>644</v>
      </c>
      <c r="AC377" s="241" t="n">
        <v>135</v>
      </c>
      <c r="AD377" s="243" t="s">
        <v>645</v>
      </c>
      <c r="AE377" s="229"/>
      <c r="AF377" s="229"/>
      <c r="AG377" s="229"/>
      <c r="AH377" s="238"/>
      <c r="AI377" s="240"/>
      <c r="AJ377" s="229"/>
      <c r="AK377" s="231"/>
      <c r="AL377" s="299"/>
      <c r="AM377" s="299"/>
      <c r="AN377" s="295"/>
      <c r="AO377" s="296"/>
      <c r="AP377" s="229"/>
      <c r="AQ377" s="300"/>
      <c r="AR377" s="278"/>
      <c r="AS377" s="277"/>
      <c r="AT377" s="229"/>
      <c r="AU377" s="229"/>
      <c r="AV377" s="229"/>
      <c r="AW377" s="5"/>
      <c r="AX377" s="5"/>
      <c r="AY377" s="5"/>
      <c r="AZ377" s="5"/>
      <c r="BA377" s="5"/>
      <c r="BB377" s="5"/>
      <c r="BC377" s="5"/>
      <c r="BD377" s="5"/>
      <c r="BE377" s="5"/>
      <c r="BF377" s="5"/>
      <c r="BG377" s="5"/>
    </row>
    <row r="378" customFormat="false" ht="15" hidden="false" customHeight="true" outlineLevel="0" collapsed="false">
      <c r="A378" s="35" t="s">
        <v>28</v>
      </c>
      <c r="B378" s="37"/>
      <c r="C378" s="38"/>
      <c r="D378" s="102"/>
      <c r="E378" s="372"/>
      <c r="F378" s="101"/>
      <c r="G378" s="370"/>
      <c r="H378" s="371"/>
      <c r="I378" s="113"/>
      <c r="J378" s="153"/>
      <c r="K378" s="368"/>
      <c r="L378" s="113"/>
      <c r="M378" s="111"/>
      <c r="N378" s="112" t="n">
        <f aca="false">$L$378+$M$378</f>
        <v>0</v>
      </c>
      <c r="O378" s="110"/>
      <c r="P378" s="111"/>
      <c r="Q378" s="112" t="n">
        <f aca="false">$O$378+$P$378</f>
        <v>0</v>
      </c>
      <c r="R378" s="113"/>
      <c r="S378" s="111"/>
      <c r="T378" s="112" t="n">
        <f aca="false">$R$378+$S$378</f>
        <v>0</v>
      </c>
      <c r="U378" s="222" t="s">
        <v>189</v>
      </c>
      <c r="V378" s="223" t="s">
        <v>646</v>
      </c>
      <c r="W378" s="224" t="n">
        <v>1104</v>
      </c>
      <c r="X378" s="212"/>
      <c r="Y378" s="225"/>
      <c r="Z378" s="225"/>
      <c r="AA378" s="226" t="n">
        <v>413</v>
      </c>
      <c r="AB378" s="227" t="s">
        <v>647</v>
      </c>
      <c r="AC378" s="241" t="n">
        <v>136</v>
      </c>
      <c r="AD378" s="243" t="s">
        <v>648</v>
      </c>
      <c r="AE378" s="229"/>
      <c r="AF378" s="229"/>
      <c r="AG378" s="229"/>
      <c r="AH378" s="238"/>
      <c r="AI378" s="240"/>
      <c r="AJ378" s="229"/>
      <c r="AK378" s="231"/>
      <c r="AL378" s="299"/>
      <c r="AM378" s="299"/>
      <c r="AN378" s="295"/>
      <c r="AO378" s="296"/>
      <c r="AP378" s="229"/>
      <c r="AQ378" s="300"/>
      <c r="AR378" s="278"/>
      <c r="AS378" s="277"/>
      <c r="AT378" s="229"/>
      <c r="AU378" s="229"/>
      <c r="AV378" s="229"/>
      <c r="AW378" s="5"/>
      <c r="AX378" s="5"/>
      <c r="AY378" s="5"/>
      <c r="AZ378" s="5"/>
      <c r="BA378" s="5"/>
      <c r="BB378" s="5"/>
      <c r="BC378" s="5"/>
      <c r="BD378" s="5"/>
      <c r="BE378" s="5"/>
      <c r="BF378" s="5"/>
      <c r="BG378" s="5"/>
    </row>
    <row r="379" customFormat="false" ht="15" hidden="false" customHeight="true" outlineLevel="0" collapsed="false">
      <c r="A379" s="114" t="s">
        <v>17</v>
      </c>
      <c r="B379" s="304"/>
      <c r="C379" s="373"/>
      <c r="D379" s="373"/>
      <c r="E379" s="374"/>
      <c r="F379" s="374"/>
      <c r="G379" s="373"/>
      <c r="H379" s="375"/>
      <c r="I379" s="373"/>
      <c r="J379" s="373"/>
      <c r="K379" s="376"/>
      <c r="L379" s="188" t="n">
        <f aca="false">SUM(L369:L378)</f>
        <v>0</v>
      </c>
      <c r="M379" s="119" t="n">
        <f aca="false">SUM(M369:M378)</f>
        <v>0</v>
      </c>
      <c r="N379" s="95" t="n">
        <f aca="false">SUM(N369:N378)</f>
        <v>0</v>
      </c>
      <c r="O379" s="118" t="n">
        <f aca="false">SUM(O369:O378)</f>
        <v>0</v>
      </c>
      <c r="P379" s="119" t="n">
        <f aca="false">SUM(P369:P378)</f>
        <v>0</v>
      </c>
      <c r="Q379" s="95" t="n">
        <f aca="false">SUM(Q369:Q378)</f>
        <v>0</v>
      </c>
      <c r="R379" s="188" t="n">
        <f aca="false">SUM(R369:R378)</f>
        <v>0</v>
      </c>
      <c r="S379" s="119" t="n">
        <f aca="false">SUM(S369:S378)</f>
        <v>0</v>
      </c>
      <c r="T379" s="95" t="n">
        <f aca="false">SUM(T369:T378)</f>
        <v>0</v>
      </c>
      <c r="U379" s="222" t="s">
        <v>189</v>
      </c>
      <c r="V379" s="223" t="s">
        <v>649</v>
      </c>
      <c r="W379" s="224" t="n">
        <v>1105</v>
      </c>
      <c r="X379" s="212"/>
      <c r="Y379" s="225"/>
      <c r="Z379" s="225"/>
      <c r="AA379" s="226" t="n">
        <v>414</v>
      </c>
      <c r="AB379" s="227" t="s">
        <v>650</v>
      </c>
      <c r="AC379" s="241" t="n">
        <v>137</v>
      </c>
      <c r="AD379" s="243" t="s">
        <v>651</v>
      </c>
      <c r="AE379" s="229"/>
      <c r="AF379" s="229"/>
      <c r="AG379" s="229"/>
      <c r="AH379" s="238"/>
      <c r="AI379" s="240"/>
      <c r="AJ379" s="229"/>
      <c r="AK379" s="231"/>
      <c r="AL379" s="299"/>
      <c r="AM379" s="299"/>
      <c r="AN379" s="295"/>
      <c r="AO379" s="296"/>
      <c r="AP379" s="229"/>
      <c r="AQ379" s="300"/>
      <c r="AR379" s="278"/>
      <c r="AS379" s="277"/>
      <c r="AT379" s="229"/>
      <c r="AU379" s="229"/>
      <c r="AV379" s="229"/>
      <c r="AW379" s="5"/>
      <c r="AX379" s="5"/>
      <c r="AY379" s="5"/>
      <c r="AZ379" s="5"/>
      <c r="BA379" s="5"/>
      <c r="BB379" s="5"/>
      <c r="BC379" s="5"/>
      <c r="BD379" s="5"/>
      <c r="BE379" s="5"/>
      <c r="BF379" s="5"/>
      <c r="BG379" s="5"/>
    </row>
    <row r="380" customFormat="false" ht="15" hidden="false" customHeight="true" outlineLevel="0" collapsed="false">
      <c r="A380" s="73" t="s">
        <v>652</v>
      </c>
      <c r="L380" s="162" t="str">
        <f aca="false">IF(L379=I$181,"OK","Confira o Quandro 1.1")</f>
        <v>OK</v>
      </c>
      <c r="M380" s="162" t="str">
        <f aca="false">IF(M379=J$181,"OK","Confira o Quandro 1.1")</f>
        <v>OK</v>
      </c>
      <c r="N380" s="162" t="str">
        <f aca="false">IF(N379=K$181,"OK","Confira o Quandro 1.1")</f>
        <v>OK</v>
      </c>
      <c r="O380" s="162" t="str">
        <f aca="false">IF(O379=L$181,"OK","Confira o Quandro 1.1")</f>
        <v>OK</v>
      </c>
      <c r="P380" s="162" t="str">
        <f aca="false">IF(P379=M$181,"OK","Confira o Quandro 1.1")</f>
        <v>OK</v>
      </c>
      <c r="Q380" s="162" t="str">
        <f aca="false">IF(Q379=N$181,"OK","Confira o Quandro 1.1")</f>
        <v>OK</v>
      </c>
      <c r="R380" s="162" t="str">
        <f aca="false">IF(R379=O$181,"OK","Confira o Quandro 1.1")</f>
        <v>OK</v>
      </c>
      <c r="S380" s="162" t="str">
        <f aca="false">IF(S379=P$181,"OK","Confira o Quandro 1.1")</f>
        <v>OK</v>
      </c>
      <c r="T380" s="162" t="str">
        <f aca="false">IF(T379=Q$181,"OK","Confira o Quandro 1.1")</f>
        <v>OK</v>
      </c>
      <c r="U380" s="222" t="s">
        <v>189</v>
      </c>
      <c r="V380" s="223" t="s">
        <v>653</v>
      </c>
      <c r="W380" s="224" t="n">
        <v>1106</v>
      </c>
      <c r="X380" s="212"/>
      <c r="Y380" s="225"/>
      <c r="Z380" s="225"/>
      <c r="AA380" s="226" t="n">
        <v>415</v>
      </c>
      <c r="AB380" s="227" t="s">
        <v>654</v>
      </c>
      <c r="AC380" s="241" t="n">
        <v>138</v>
      </c>
      <c r="AD380" s="243" t="s">
        <v>655</v>
      </c>
      <c r="AE380" s="229"/>
      <c r="AF380" s="229"/>
      <c r="AG380" s="229"/>
      <c r="AH380" s="238"/>
      <c r="AI380" s="240"/>
      <c r="AJ380" s="229"/>
      <c r="AK380" s="231"/>
      <c r="AL380" s="299"/>
      <c r="AM380" s="299"/>
      <c r="AN380" s="295"/>
      <c r="AO380" s="296"/>
      <c r="AP380" s="229"/>
      <c r="AQ380" s="300"/>
      <c r="AR380" s="278"/>
      <c r="AS380" s="277"/>
      <c r="AT380" s="229"/>
      <c r="AU380" s="229"/>
      <c r="AV380" s="229"/>
      <c r="AW380" s="5"/>
      <c r="AX380" s="5"/>
      <c r="AY380" s="5"/>
      <c r="AZ380" s="5"/>
      <c r="BA380" s="5"/>
      <c r="BB380" s="5"/>
      <c r="BC380" s="5"/>
      <c r="BD380" s="5"/>
      <c r="BE380" s="5"/>
      <c r="BF380" s="5"/>
      <c r="BG380" s="5"/>
    </row>
    <row r="381" customFormat="false" ht="15" hidden="false" customHeight="true" outlineLevel="0" collapsed="false">
      <c r="A381" s="73" t="s">
        <v>656</v>
      </c>
      <c r="U381" s="222" t="s">
        <v>189</v>
      </c>
      <c r="V381" s="223" t="s">
        <v>657</v>
      </c>
      <c r="W381" s="224" t="n">
        <v>1107</v>
      </c>
      <c r="X381" s="212"/>
      <c r="Y381" s="225"/>
      <c r="Z381" s="225"/>
      <c r="AA381" s="226" t="n">
        <v>416</v>
      </c>
      <c r="AB381" s="227" t="s">
        <v>658</v>
      </c>
      <c r="AC381" s="241" t="n">
        <v>139</v>
      </c>
      <c r="AD381" s="243" t="s">
        <v>659</v>
      </c>
      <c r="AE381" s="229"/>
      <c r="AF381" s="229"/>
      <c r="AG381" s="229"/>
      <c r="AH381" s="238"/>
      <c r="AI381" s="240"/>
      <c r="AJ381" s="229"/>
      <c r="AK381" s="231"/>
      <c r="AL381" s="299"/>
      <c r="AM381" s="299"/>
      <c r="AN381" s="295"/>
      <c r="AO381" s="296"/>
      <c r="AP381" s="229"/>
      <c r="AQ381" s="300"/>
      <c r="AR381" s="278"/>
      <c r="AS381" s="277"/>
      <c r="AT381" s="229"/>
      <c r="AU381" s="229"/>
      <c r="AV381" s="229"/>
      <c r="AW381" s="5"/>
      <c r="AX381" s="5"/>
      <c r="AY381" s="5"/>
      <c r="AZ381" s="5"/>
      <c r="BA381" s="5"/>
      <c r="BB381" s="5"/>
      <c r="BC381" s="5"/>
      <c r="BD381" s="5"/>
      <c r="BE381" s="5"/>
      <c r="BF381" s="5"/>
      <c r="BG381" s="5"/>
    </row>
    <row r="382" customFormat="false" ht="15" hidden="false" customHeight="true" outlineLevel="0" collapsed="false">
      <c r="A382" s="73" t="s">
        <v>660</v>
      </c>
      <c r="U382" s="222" t="s">
        <v>189</v>
      </c>
      <c r="V382" s="223" t="s">
        <v>661</v>
      </c>
      <c r="W382" s="224" t="n">
        <v>1108</v>
      </c>
      <c r="X382" s="212"/>
      <c r="Y382" s="225"/>
      <c r="Z382" s="225"/>
      <c r="AA382" s="226" t="n">
        <v>417</v>
      </c>
      <c r="AB382" s="227" t="s">
        <v>662</v>
      </c>
      <c r="AC382" s="241" t="n">
        <v>140</v>
      </c>
      <c r="AD382" s="243" t="s">
        <v>663</v>
      </c>
      <c r="AE382" s="229"/>
      <c r="AF382" s="229"/>
      <c r="AG382" s="229"/>
      <c r="AH382" s="238"/>
      <c r="AI382" s="240"/>
      <c r="AJ382" s="229"/>
      <c r="AK382" s="231"/>
      <c r="AL382" s="299"/>
      <c r="AM382" s="299"/>
      <c r="AN382" s="295"/>
      <c r="AO382" s="296"/>
      <c r="AP382" s="229"/>
      <c r="AQ382" s="300"/>
      <c r="AR382" s="278"/>
      <c r="AS382" s="277"/>
      <c r="AT382" s="229"/>
      <c r="AU382" s="229"/>
      <c r="AV382" s="229"/>
      <c r="AW382" s="5"/>
      <c r="AX382" s="5"/>
      <c r="AY382" s="5"/>
      <c r="AZ382" s="5"/>
      <c r="BA382" s="5"/>
      <c r="BB382" s="5"/>
      <c r="BC382" s="5"/>
      <c r="BD382" s="5"/>
      <c r="BE382" s="5"/>
      <c r="BF382" s="5"/>
      <c r="BG382" s="5"/>
    </row>
    <row r="383" customFormat="false" ht="15" hidden="false" customHeight="true" outlineLevel="0" collapsed="false">
      <c r="U383" s="222" t="s">
        <v>189</v>
      </c>
      <c r="V383" s="223" t="s">
        <v>664</v>
      </c>
      <c r="W383" s="224" t="n">
        <v>1110</v>
      </c>
      <c r="X383" s="212"/>
      <c r="Y383" s="225"/>
      <c r="Z383" s="225"/>
      <c r="AA383" s="226" t="n">
        <v>419</v>
      </c>
      <c r="AB383" s="227" t="s">
        <v>665</v>
      </c>
      <c r="AC383" s="241" t="n">
        <v>142</v>
      </c>
      <c r="AD383" s="243" t="s">
        <v>666</v>
      </c>
      <c r="AE383" s="229"/>
      <c r="AF383" s="229"/>
      <c r="AG383" s="229"/>
      <c r="AH383" s="238"/>
      <c r="AI383" s="240"/>
      <c r="AJ383" s="229"/>
      <c r="AK383" s="231"/>
      <c r="AL383" s="299"/>
      <c r="AM383" s="299"/>
      <c r="AN383" s="295"/>
      <c r="AO383" s="296"/>
      <c r="AP383" s="229"/>
      <c r="AQ383" s="300"/>
      <c r="AR383" s="278"/>
      <c r="AS383" s="277"/>
      <c r="AT383" s="229"/>
      <c r="AU383" s="229"/>
      <c r="AV383" s="229"/>
      <c r="AW383" s="5"/>
      <c r="AX383" s="5"/>
      <c r="AY383" s="5"/>
      <c r="AZ383" s="5"/>
      <c r="BA383" s="5"/>
      <c r="BB383" s="5"/>
      <c r="BC383" s="5"/>
      <c r="BD383" s="5"/>
      <c r="BE383" s="5"/>
      <c r="BF383" s="5"/>
      <c r="BG383" s="5"/>
    </row>
    <row r="384" customFormat="false" ht="15" hidden="false" customHeight="true" outlineLevel="0" collapsed="false">
      <c r="A384" s="8" t="s">
        <v>667</v>
      </c>
      <c r="B384" s="8"/>
      <c r="C384" s="8"/>
      <c r="D384" s="8"/>
      <c r="E384" s="8"/>
      <c r="F384" s="8"/>
      <c r="G384" s="8"/>
      <c r="H384" s="8"/>
      <c r="I384" s="8"/>
      <c r="U384" s="222" t="s">
        <v>189</v>
      </c>
      <c r="V384" s="223" t="s">
        <v>357</v>
      </c>
      <c r="W384" s="224" t="n">
        <v>1111</v>
      </c>
      <c r="X384" s="212"/>
      <c r="Y384" s="225"/>
      <c r="Z384" s="225"/>
      <c r="AA384" s="226" t="n">
        <v>420</v>
      </c>
      <c r="AB384" s="227" t="s">
        <v>668</v>
      </c>
      <c r="AC384" s="241" t="n">
        <v>143</v>
      </c>
      <c r="AD384" s="243" t="s">
        <v>669</v>
      </c>
      <c r="AE384" s="229"/>
      <c r="AF384" s="229"/>
      <c r="AG384" s="229"/>
      <c r="AH384" s="238"/>
      <c r="AI384" s="240"/>
      <c r="AJ384" s="229"/>
      <c r="AK384" s="231"/>
      <c r="AL384" s="299"/>
      <c r="AM384" s="299"/>
      <c r="AN384" s="295"/>
      <c r="AO384" s="296"/>
      <c r="AP384" s="229"/>
      <c r="AQ384" s="300"/>
      <c r="AR384" s="278"/>
      <c r="AS384" s="277"/>
      <c r="AT384" s="229"/>
      <c r="AU384" s="229"/>
      <c r="AV384" s="229"/>
      <c r="AW384" s="5"/>
      <c r="AX384" s="5"/>
      <c r="AY384" s="5"/>
      <c r="AZ384" s="5"/>
      <c r="BA384" s="5"/>
      <c r="BB384" s="5"/>
      <c r="BC384" s="5"/>
      <c r="BD384" s="5"/>
      <c r="BE384" s="5"/>
      <c r="BF384" s="5"/>
      <c r="BG384" s="5"/>
    </row>
    <row r="385" customFormat="false" ht="15" hidden="false" customHeight="true" outlineLevel="0" collapsed="false">
      <c r="A385" s="88" t="s">
        <v>670</v>
      </c>
      <c r="B385" s="88" t="s">
        <v>83</v>
      </c>
      <c r="C385" s="88"/>
      <c r="D385" s="88"/>
      <c r="E385" s="88" t="s">
        <v>84</v>
      </c>
      <c r="F385" s="88"/>
      <c r="G385" s="88"/>
      <c r="H385" s="88" t="s">
        <v>85</v>
      </c>
      <c r="I385" s="88"/>
      <c r="J385" s="88"/>
      <c r="U385" s="222" t="s">
        <v>189</v>
      </c>
      <c r="V385" s="223" t="s">
        <v>671</v>
      </c>
      <c r="W385" s="224" t="n">
        <v>1112</v>
      </c>
      <c r="X385" s="212"/>
      <c r="Y385" s="225"/>
      <c r="Z385" s="225"/>
      <c r="AA385" s="226" t="n">
        <v>421</v>
      </c>
      <c r="AB385" s="227" t="s">
        <v>672</v>
      </c>
      <c r="AC385" s="241" t="n">
        <v>144</v>
      </c>
      <c r="AD385" s="243" t="s">
        <v>673</v>
      </c>
      <c r="AE385" s="229"/>
      <c r="AF385" s="229"/>
      <c r="AG385" s="229"/>
      <c r="AH385" s="238"/>
      <c r="AI385" s="240"/>
      <c r="AJ385" s="229"/>
      <c r="AK385" s="231"/>
      <c r="AL385" s="299"/>
      <c r="AM385" s="299"/>
      <c r="AN385" s="295"/>
      <c r="AO385" s="296"/>
      <c r="AP385" s="229"/>
      <c r="AQ385" s="300"/>
      <c r="AR385" s="278"/>
      <c r="AS385" s="277"/>
      <c r="AT385" s="229"/>
      <c r="AU385" s="229"/>
      <c r="AV385" s="229"/>
      <c r="AW385" s="5"/>
      <c r="AX385" s="5"/>
      <c r="AY385" s="5"/>
      <c r="AZ385" s="5"/>
      <c r="BA385" s="5"/>
      <c r="BB385" s="5"/>
      <c r="BC385" s="5"/>
      <c r="BD385" s="5"/>
      <c r="BE385" s="5"/>
      <c r="BF385" s="5"/>
      <c r="BG385" s="5"/>
    </row>
    <row r="386" customFormat="false" ht="15" hidden="false" customHeight="true" outlineLevel="0" collapsed="false">
      <c r="A386" s="88"/>
      <c r="B386" s="88" t="s">
        <v>15</v>
      </c>
      <c r="C386" s="90" t="s">
        <v>98</v>
      </c>
      <c r="D386" s="95" t="s">
        <v>17</v>
      </c>
      <c r="E386" s="92" t="s">
        <v>15</v>
      </c>
      <c r="F386" s="90" t="s">
        <v>98</v>
      </c>
      <c r="G386" s="95" t="s">
        <v>17</v>
      </c>
      <c r="H386" s="88" t="s">
        <v>15</v>
      </c>
      <c r="I386" s="90" t="s">
        <v>98</v>
      </c>
      <c r="J386" s="95" t="s">
        <v>17</v>
      </c>
      <c r="U386" s="222" t="s">
        <v>189</v>
      </c>
      <c r="V386" s="223" t="s">
        <v>674</v>
      </c>
      <c r="W386" s="224" t="n">
        <v>1113</v>
      </c>
      <c r="X386" s="212"/>
      <c r="Y386" s="225"/>
      <c r="Z386" s="225"/>
      <c r="AA386" s="226" t="n">
        <v>422</v>
      </c>
      <c r="AB386" s="227" t="s">
        <v>675</v>
      </c>
      <c r="AC386" s="241" t="n">
        <v>145</v>
      </c>
      <c r="AD386" s="243" t="s">
        <v>676</v>
      </c>
      <c r="AE386" s="229"/>
      <c r="AF386" s="229"/>
      <c r="AG386" s="229"/>
      <c r="AH386" s="238"/>
      <c r="AI386" s="240"/>
      <c r="AJ386" s="229"/>
      <c r="AK386" s="231"/>
      <c r="AL386" s="299"/>
      <c r="AM386" s="299"/>
      <c r="AN386" s="295"/>
      <c r="AO386" s="296"/>
      <c r="AP386" s="229"/>
      <c r="AQ386" s="300"/>
      <c r="AR386" s="278"/>
      <c r="AS386" s="277"/>
      <c r="AT386" s="229"/>
      <c r="AU386" s="229"/>
      <c r="AV386" s="229"/>
      <c r="AW386" s="5"/>
      <c r="AX386" s="5"/>
      <c r="AY386" s="5"/>
      <c r="AZ386" s="5"/>
      <c r="BA386" s="5"/>
      <c r="BB386" s="5"/>
      <c r="BC386" s="5"/>
      <c r="BD386" s="5"/>
      <c r="BE386" s="5"/>
      <c r="BF386" s="5"/>
      <c r="BG386" s="5"/>
    </row>
    <row r="387" customFormat="false" ht="15" hidden="false" customHeight="true" outlineLevel="0" collapsed="false">
      <c r="A387" s="293" t="s">
        <v>381</v>
      </c>
      <c r="B387" s="97" t="n">
        <v>0</v>
      </c>
      <c r="C387" s="98" t="n">
        <v>0</v>
      </c>
      <c r="D387" s="99" t="n">
        <f aca="false">$B$387+$C$387</f>
        <v>0</v>
      </c>
      <c r="E387" s="100" t="n">
        <v>0</v>
      </c>
      <c r="F387" s="98" t="n">
        <v>0</v>
      </c>
      <c r="G387" s="99" t="n">
        <f aca="false">$E$387+$F$387</f>
        <v>0</v>
      </c>
      <c r="H387" s="97" t="n">
        <v>0</v>
      </c>
      <c r="I387" s="98" t="n">
        <v>0</v>
      </c>
      <c r="J387" s="99" t="n">
        <f aca="false">$H$387+$I$387</f>
        <v>0</v>
      </c>
      <c r="U387" s="222" t="s">
        <v>189</v>
      </c>
      <c r="V387" s="223" t="s">
        <v>677</v>
      </c>
      <c r="W387" s="224" t="n">
        <v>1114</v>
      </c>
      <c r="X387" s="212"/>
      <c r="Y387" s="225"/>
      <c r="Z387" s="225"/>
      <c r="AA387" s="226" t="n">
        <v>423</v>
      </c>
      <c r="AB387" s="227" t="s">
        <v>678</v>
      </c>
      <c r="AC387" s="241" t="n">
        <v>146</v>
      </c>
      <c r="AD387" s="243" t="s">
        <v>679</v>
      </c>
      <c r="AE387" s="229"/>
      <c r="AF387" s="229"/>
      <c r="AG387" s="229"/>
      <c r="AH387" s="238"/>
      <c r="AI387" s="240"/>
      <c r="AJ387" s="229"/>
      <c r="AK387" s="231"/>
      <c r="AL387" s="299"/>
      <c r="AM387" s="299"/>
      <c r="AN387" s="295"/>
      <c r="AO387" s="296"/>
      <c r="AP387" s="229"/>
      <c r="AQ387" s="300"/>
      <c r="AR387" s="278"/>
      <c r="AS387" s="277"/>
      <c r="AT387" s="229"/>
      <c r="AU387" s="229"/>
      <c r="AV387" s="229"/>
      <c r="AW387" s="5"/>
      <c r="AX387" s="5"/>
      <c r="AY387" s="5"/>
      <c r="AZ387" s="5"/>
      <c r="BA387" s="5"/>
      <c r="BB387" s="5"/>
      <c r="BC387" s="5"/>
      <c r="BD387" s="5"/>
      <c r="BE387" s="5"/>
      <c r="BF387" s="5"/>
      <c r="BG387" s="5"/>
    </row>
    <row r="388" customFormat="false" ht="15" hidden="false" customHeight="true" outlineLevel="0" collapsed="false">
      <c r="A388" s="297" t="s">
        <v>386</v>
      </c>
      <c r="B388" s="102" t="n">
        <v>0</v>
      </c>
      <c r="C388" s="103" t="n">
        <v>0</v>
      </c>
      <c r="D388" s="104" t="n">
        <f aca="false">$B$388+$C$388</f>
        <v>0</v>
      </c>
      <c r="E388" s="105" t="n">
        <v>0</v>
      </c>
      <c r="F388" s="103" t="n">
        <v>0</v>
      </c>
      <c r="G388" s="104" t="n">
        <f aca="false">$E$388+$F$388</f>
        <v>0</v>
      </c>
      <c r="H388" s="102" t="n">
        <v>0</v>
      </c>
      <c r="I388" s="103" t="n">
        <v>0</v>
      </c>
      <c r="J388" s="104" t="n">
        <f aca="false">$H$388+$I$388</f>
        <v>0</v>
      </c>
      <c r="U388" s="222" t="s">
        <v>189</v>
      </c>
      <c r="V388" s="223" t="s">
        <v>680</v>
      </c>
      <c r="W388" s="224" t="n">
        <v>1115</v>
      </c>
      <c r="X388" s="212"/>
      <c r="Y388" s="225"/>
      <c r="Z388" s="225"/>
      <c r="AA388" s="226" t="n">
        <v>424</v>
      </c>
      <c r="AB388" s="227" t="s">
        <v>681</v>
      </c>
      <c r="AC388" s="241" t="n">
        <v>147</v>
      </c>
      <c r="AD388" s="243" t="s">
        <v>682</v>
      </c>
      <c r="AE388" s="229"/>
      <c r="AF388" s="229"/>
      <c r="AG388" s="229"/>
      <c r="AH388" s="238"/>
      <c r="AI388" s="240"/>
      <c r="AJ388" s="229"/>
      <c r="AK388" s="231"/>
      <c r="AL388" s="299"/>
      <c r="AM388" s="299"/>
      <c r="AN388" s="295"/>
      <c r="AO388" s="296"/>
      <c r="AP388" s="229"/>
      <c r="AQ388" s="300"/>
      <c r="AR388" s="278"/>
      <c r="AS388" s="277"/>
      <c r="AT388" s="229"/>
      <c r="AU388" s="229"/>
      <c r="AV388" s="229"/>
      <c r="AW388" s="5"/>
      <c r="AX388" s="5"/>
      <c r="AY388" s="5"/>
      <c r="AZ388" s="5"/>
      <c r="BA388" s="5"/>
      <c r="BB388" s="5"/>
      <c r="BC388" s="5"/>
      <c r="BD388" s="5"/>
      <c r="BE388" s="5"/>
      <c r="BF388" s="5"/>
      <c r="BG388" s="5"/>
    </row>
    <row r="389" customFormat="false" ht="15" hidden="false" customHeight="true" outlineLevel="0" collapsed="false">
      <c r="A389" s="297" t="s">
        <v>390</v>
      </c>
      <c r="B389" s="102" t="n">
        <v>0</v>
      </c>
      <c r="C389" s="103" t="n">
        <v>0</v>
      </c>
      <c r="D389" s="104" t="n">
        <f aca="false">$B$389+$C$389</f>
        <v>0</v>
      </c>
      <c r="E389" s="105" t="n">
        <v>0</v>
      </c>
      <c r="F389" s="103" t="n">
        <v>0</v>
      </c>
      <c r="G389" s="104" t="n">
        <f aca="false">$E$389+$F$389</f>
        <v>0</v>
      </c>
      <c r="H389" s="102" t="n">
        <v>0</v>
      </c>
      <c r="I389" s="103" t="n">
        <v>0</v>
      </c>
      <c r="J389" s="104" t="n">
        <f aca="false">$H$389+$I$389</f>
        <v>0</v>
      </c>
      <c r="U389" s="222" t="s">
        <v>189</v>
      </c>
      <c r="V389" s="223" t="s">
        <v>683</v>
      </c>
      <c r="W389" s="224" t="n">
        <v>1116</v>
      </c>
      <c r="X389" s="212"/>
      <c r="Y389" s="225"/>
      <c r="Z389" s="225"/>
      <c r="AA389" s="226" t="n">
        <v>425</v>
      </c>
      <c r="AB389" s="227" t="s">
        <v>684</v>
      </c>
      <c r="AC389" s="241" t="n">
        <v>148</v>
      </c>
      <c r="AD389" s="243" t="s">
        <v>685</v>
      </c>
      <c r="AE389" s="229"/>
      <c r="AF389" s="229"/>
      <c r="AG389" s="229"/>
      <c r="AH389" s="238"/>
      <c r="AI389" s="240"/>
      <c r="AJ389" s="229"/>
      <c r="AK389" s="231"/>
      <c r="AL389" s="299"/>
      <c r="AM389" s="299"/>
      <c r="AN389" s="295"/>
      <c r="AO389" s="296"/>
      <c r="AP389" s="229"/>
      <c r="AQ389" s="300"/>
      <c r="AR389" s="278"/>
      <c r="AS389" s="277"/>
      <c r="AT389" s="229"/>
      <c r="AU389" s="229"/>
      <c r="AV389" s="229"/>
      <c r="AW389" s="5"/>
      <c r="AX389" s="5"/>
      <c r="AY389" s="5"/>
      <c r="AZ389" s="5"/>
      <c r="BA389" s="5"/>
      <c r="BB389" s="5"/>
      <c r="BC389" s="5"/>
      <c r="BD389" s="5"/>
      <c r="BE389" s="5"/>
      <c r="BF389" s="5"/>
      <c r="BG389" s="5"/>
    </row>
    <row r="390" customFormat="false" ht="15" hidden="false" customHeight="true" outlineLevel="0" collapsed="false">
      <c r="A390" s="297" t="s">
        <v>395</v>
      </c>
      <c r="B390" s="102" t="n">
        <v>0</v>
      </c>
      <c r="C390" s="103" t="n">
        <v>0</v>
      </c>
      <c r="D390" s="104" t="n">
        <f aca="false">$B$390+$C$390</f>
        <v>0</v>
      </c>
      <c r="E390" s="105" t="n">
        <v>0</v>
      </c>
      <c r="F390" s="103" t="n">
        <v>0</v>
      </c>
      <c r="G390" s="104" t="n">
        <f aca="false">$E$390+$F$390</f>
        <v>0</v>
      </c>
      <c r="H390" s="102" t="n">
        <v>0</v>
      </c>
      <c r="I390" s="103" t="n">
        <v>0</v>
      </c>
      <c r="J390" s="104" t="n">
        <f aca="false">$H$390+$I$390</f>
        <v>0</v>
      </c>
      <c r="U390" s="212"/>
      <c r="V390" s="212"/>
      <c r="W390" s="212"/>
      <c r="X390" s="212"/>
      <c r="Y390" s="225"/>
      <c r="Z390" s="225"/>
      <c r="AA390" s="226" t="n">
        <v>426</v>
      </c>
      <c r="AB390" s="227" t="s">
        <v>686</v>
      </c>
      <c r="AC390" s="241" t="n">
        <v>149</v>
      </c>
      <c r="AD390" s="243" t="s">
        <v>687</v>
      </c>
      <c r="AE390" s="229"/>
      <c r="AF390" s="229"/>
      <c r="AG390" s="229"/>
      <c r="AH390" s="238"/>
      <c r="AI390" s="240"/>
      <c r="AJ390" s="229"/>
      <c r="AK390" s="231"/>
      <c r="AL390" s="299"/>
      <c r="AM390" s="299"/>
      <c r="AN390" s="295"/>
      <c r="AO390" s="296"/>
      <c r="AP390" s="229"/>
      <c r="AQ390" s="300"/>
      <c r="AR390" s="278"/>
      <c r="AS390" s="277"/>
      <c r="AT390" s="229"/>
      <c r="AU390" s="229"/>
      <c r="AV390" s="229"/>
      <c r="AW390" s="5"/>
      <c r="AX390" s="5"/>
      <c r="AY390" s="5"/>
      <c r="AZ390" s="5"/>
      <c r="BA390" s="5"/>
      <c r="BB390" s="5"/>
      <c r="BC390" s="5"/>
      <c r="BD390" s="5"/>
      <c r="BE390" s="5"/>
      <c r="BF390" s="5"/>
      <c r="BG390" s="5"/>
    </row>
    <row r="391" customFormat="false" ht="15" hidden="false" customHeight="true" outlineLevel="0" collapsed="false">
      <c r="A391" s="377" t="s">
        <v>400</v>
      </c>
      <c r="B391" s="110" t="n">
        <v>0</v>
      </c>
      <c r="C391" s="111" t="n">
        <v>0</v>
      </c>
      <c r="D391" s="112" t="n">
        <f aca="false">$B$391+$C$391</f>
        <v>0</v>
      </c>
      <c r="E391" s="113" t="n">
        <v>0</v>
      </c>
      <c r="F391" s="111" t="n">
        <v>0</v>
      </c>
      <c r="G391" s="112" t="n">
        <f aca="false">$E$391+$F$391</f>
        <v>0</v>
      </c>
      <c r="H391" s="110" t="n">
        <v>0</v>
      </c>
      <c r="I391" s="111" t="n">
        <v>0</v>
      </c>
      <c r="J391" s="112" t="n">
        <f aca="false">$H$391+$I$391</f>
        <v>0</v>
      </c>
      <c r="W391" s="212"/>
      <c r="X391" s="212"/>
      <c r="Y391" s="225"/>
      <c r="Z391" s="225"/>
      <c r="AA391" s="226" t="n">
        <v>427</v>
      </c>
      <c r="AB391" s="227" t="s">
        <v>688</v>
      </c>
      <c r="AC391" s="241" t="n">
        <v>150</v>
      </c>
      <c r="AD391" s="243" t="s">
        <v>689</v>
      </c>
      <c r="AE391" s="229"/>
      <c r="AF391" s="229"/>
      <c r="AG391" s="229"/>
      <c r="AH391" s="238"/>
      <c r="AI391" s="240"/>
      <c r="AJ391" s="229"/>
      <c r="AK391" s="231"/>
      <c r="AL391" s="299"/>
      <c r="AM391" s="299"/>
      <c r="AN391" s="295"/>
      <c r="AO391" s="296"/>
      <c r="AP391" s="229"/>
      <c r="AQ391" s="300"/>
      <c r="AR391" s="278"/>
      <c r="AS391" s="277"/>
      <c r="AT391" s="229"/>
      <c r="AU391" s="229"/>
      <c r="AV391" s="229"/>
      <c r="AW391" s="5"/>
      <c r="AX391" s="5"/>
      <c r="AY391" s="5"/>
      <c r="AZ391" s="5"/>
      <c r="BA391" s="5"/>
      <c r="BB391" s="5"/>
      <c r="BC391" s="5"/>
      <c r="BD391" s="5"/>
      <c r="BE391" s="5"/>
      <c r="BF391" s="5"/>
      <c r="BG391" s="5"/>
    </row>
    <row r="392" customFormat="false" ht="15" hidden="false" customHeight="true" outlineLevel="0" collapsed="false">
      <c r="A392" s="378" t="s">
        <v>17</v>
      </c>
      <c r="B392" s="118" t="n">
        <f aca="false">SUM(B387:B391)</f>
        <v>0</v>
      </c>
      <c r="C392" s="119" t="n">
        <f aca="false">SUM(C387:C391)</f>
        <v>0</v>
      </c>
      <c r="D392" s="95" t="n">
        <f aca="false">SUM(D387:D391)</f>
        <v>0</v>
      </c>
      <c r="E392" s="188" t="n">
        <f aca="false">SUM(E387:E391)</f>
        <v>0</v>
      </c>
      <c r="F392" s="119" t="n">
        <f aca="false">SUM(F387:F391)</f>
        <v>0</v>
      </c>
      <c r="G392" s="95" t="n">
        <f aca="false">SUM(G387:G391)</f>
        <v>0</v>
      </c>
      <c r="H392" s="118" t="n">
        <f aca="false">SUM(H387:H391)</f>
        <v>0</v>
      </c>
      <c r="I392" s="119" t="n">
        <f aca="false">SUM(I387:I391)</f>
        <v>0</v>
      </c>
      <c r="J392" s="95" t="n">
        <f aca="false">SUM(J387:J391)</f>
        <v>0</v>
      </c>
      <c r="K392" s="124"/>
      <c r="L392" s="124"/>
      <c r="U392" s="379" t="s">
        <v>113</v>
      </c>
      <c r="V392" s="3" t="s">
        <v>92</v>
      </c>
      <c r="W392" s="212"/>
      <c r="X392" s="212"/>
      <c r="Y392" s="225"/>
      <c r="Z392" s="225"/>
      <c r="AA392" s="226" t="n">
        <v>428</v>
      </c>
      <c r="AB392" s="227" t="s">
        <v>690</v>
      </c>
      <c r="AC392" s="241" t="n">
        <v>151</v>
      </c>
      <c r="AD392" s="243" t="s">
        <v>691</v>
      </c>
      <c r="AE392" s="229"/>
      <c r="AF392" s="229"/>
      <c r="AG392" s="229"/>
      <c r="AH392" s="238"/>
      <c r="AI392" s="240"/>
      <c r="AJ392" s="229"/>
      <c r="AK392" s="231"/>
      <c r="AL392" s="299"/>
      <c r="AM392" s="299"/>
      <c r="AN392" s="295"/>
      <c r="AO392" s="296"/>
      <c r="AP392" s="229"/>
      <c r="AQ392" s="300"/>
      <c r="AR392" s="278"/>
      <c r="AS392" s="277"/>
      <c r="AT392" s="229"/>
      <c r="AU392" s="229"/>
      <c r="AV392" s="229"/>
      <c r="AW392" s="5"/>
      <c r="AX392" s="5"/>
      <c r="AY392" s="5"/>
      <c r="AZ392" s="5"/>
      <c r="BA392" s="5"/>
      <c r="BB392" s="5"/>
      <c r="BC392" s="5"/>
      <c r="BD392" s="5"/>
      <c r="BE392" s="5"/>
      <c r="BF392" s="5"/>
      <c r="BG392" s="5"/>
    </row>
    <row r="393" customFormat="false" ht="15" hidden="false" customHeight="true" outlineLevel="0" collapsed="false">
      <c r="A393" s="380" t="s">
        <v>12</v>
      </c>
      <c r="B393" s="162" t="str">
        <f aca="false">IF(B392=I$181,"OK","Confira o Quandro 1.1")</f>
        <v>OK</v>
      </c>
      <c r="C393" s="162" t="str">
        <f aca="false">IF(C392=J$181,"OK","Confira o Quandro 1.1")</f>
        <v>OK</v>
      </c>
      <c r="D393" s="162" t="str">
        <f aca="false">IF(D392=K$181,"OK","Confira o Quandro 1.1")</f>
        <v>OK</v>
      </c>
      <c r="E393" s="162" t="str">
        <f aca="false">IF(E392=L$181,"OK","Confira o Quandro 1.1")</f>
        <v>OK</v>
      </c>
      <c r="F393" s="162" t="str">
        <f aca="false">IF(F392=M$181,"OK","Confira o Quandro 1.1")</f>
        <v>OK</v>
      </c>
      <c r="G393" s="162" t="str">
        <f aca="false">IF(G392=N$181,"OK","Confira o Quandro 1.1")</f>
        <v>OK</v>
      </c>
      <c r="H393" s="162" t="str">
        <f aca="false">IF(H392=O$181,"OK","Confira o Quandro 1.1")</f>
        <v>OK</v>
      </c>
      <c r="I393" s="162" t="str">
        <f aca="false">IF(I392=P$181,"OK","Confira o Quandro 1.1")</f>
        <v>OK</v>
      </c>
      <c r="J393" s="162" t="str">
        <f aca="false">IF(J392=Q$181,"OK","Confira o Quandro 1.1")</f>
        <v>OK</v>
      </c>
      <c r="U393" s="381" t="n">
        <v>1</v>
      </c>
      <c r="V393" s="3" t="s">
        <v>95</v>
      </c>
      <c r="W393" s="212"/>
      <c r="X393" s="212"/>
      <c r="Y393" s="225"/>
      <c r="Z393" s="225"/>
      <c r="AA393" s="226" t="n">
        <v>429</v>
      </c>
      <c r="AB393" s="227" t="s">
        <v>692</v>
      </c>
      <c r="AC393" s="241" t="n">
        <v>152</v>
      </c>
      <c r="AD393" s="243" t="s">
        <v>693</v>
      </c>
      <c r="AE393" s="229"/>
      <c r="AF393" s="229"/>
      <c r="AG393" s="229"/>
      <c r="AH393" s="238"/>
      <c r="AI393" s="240"/>
      <c r="AJ393" s="229"/>
      <c r="AK393" s="231"/>
      <c r="AL393" s="299"/>
      <c r="AM393" s="299"/>
      <c r="AN393" s="295"/>
      <c r="AO393" s="296"/>
      <c r="AP393" s="229"/>
      <c r="AQ393" s="300"/>
      <c r="AR393" s="278"/>
      <c r="AS393" s="277"/>
      <c r="AT393" s="229"/>
      <c r="AU393" s="229"/>
      <c r="AV393" s="229"/>
      <c r="AW393" s="5"/>
      <c r="AX393" s="5"/>
      <c r="AY393" s="5"/>
      <c r="AZ393" s="5"/>
      <c r="BA393" s="5"/>
      <c r="BB393" s="5"/>
      <c r="BC393" s="5"/>
      <c r="BD393" s="5"/>
      <c r="BE393" s="5"/>
      <c r="BF393" s="5"/>
      <c r="BG393" s="5"/>
    </row>
    <row r="394" customFormat="false" ht="15" hidden="false" customHeight="true" outlineLevel="0" collapsed="false">
      <c r="U394" s="381" t="n">
        <v>2</v>
      </c>
      <c r="V394" s="212" t="s">
        <v>96</v>
      </c>
      <c r="W394" s="212"/>
      <c r="X394" s="212"/>
      <c r="Y394" s="225"/>
      <c r="Z394" s="225"/>
      <c r="AA394" s="226" t="n">
        <v>430</v>
      </c>
      <c r="AB394" s="227" t="s">
        <v>694</v>
      </c>
      <c r="AC394" s="241" t="n">
        <v>153</v>
      </c>
      <c r="AD394" s="243" t="s">
        <v>695</v>
      </c>
      <c r="AE394" s="229"/>
      <c r="AF394" s="229"/>
      <c r="AG394" s="229"/>
      <c r="AH394" s="238"/>
      <c r="AI394" s="240"/>
      <c r="AJ394" s="229"/>
      <c r="AK394" s="231"/>
      <c r="AL394" s="299"/>
      <c r="AM394" s="299"/>
      <c r="AN394" s="295"/>
      <c r="AO394" s="296"/>
      <c r="AP394" s="229"/>
      <c r="AQ394" s="300"/>
      <c r="AR394" s="278"/>
      <c r="AS394" s="277"/>
      <c r="AT394" s="229"/>
      <c r="AU394" s="229"/>
      <c r="AV394" s="229"/>
      <c r="AW394" s="5"/>
      <c r="AX394" s="5"/>
      <c r="AY394" s="5"/>
      <c r="AZ394" s="5"/>
      <c r="BA394" s="5"/>
      <c r="BB394" s="5"/>
      <c r="BC394" s="5"/>
      <c r="BD394" s="5"/>
      <c r="BE394" s="5"/>
      <c r="BF394" s="5"/>
      <c r="BG394" s="5"/>
    </row>
    <row r="395" customFormat="false" ht="15" hidden="false" customHeight="true" outlineLevel="0" collapsed="false">
      <c r="A395" s="8" t="s">
        <v>696</v>
      </c>
      <c r="B395" s="8"/>
      <c r="C395" s="8"/>
      <c r="D395" s="8"/>
      <c r="E395" s="8"/>
      <c r="F395" s="8"/>
      <c r="G395" s="8"/>
      <c r="H395" s="8"/>
      <c r="U395" s="212"/>
      <c r="V395" s="212"/>
      <c r="W395" s="212"/>
      <c r="X395" s="212"/>
      <c r="Y395" s="225"/>
      <c r="Z395" s="225"/>
      <c r="AA395" s="226" t="n">
        <v>431</v>
      </c>
      <c r="AB395" s="227" t="s">
        <v>697</v>
      </c>
      <c r="AC395" s="241" t="n">
        <v>154</v>
      </c>
      <c r="AD395" s="243" t="s">
        <v>698</v>
      </c>
      <c r="AE395" s="229"/>
      <c r="AF395" s="229"/>
      <c r="AG395" s="229"/>
      <c r="AH395" s="238"/>
      <c r="AI395" s="240"/>
      <c r="AJ395" s="229"/>
      <c r="AK395" s="231"/>
      <c r="AL395" s="299"/>
      <c r="AM395" s="299"/>
      <c r="AN395" s="295"/>
      <c r="AO395" s="296"/>
      <c r="AP395" s="229"/>
      <c r="AQ395" s="300"/>
      <c r="AR395" s="278"/>
      <c r="AS395" s="277"/>
      <c r="AT395" s="229"/>
      <c r="AU395" s="229"/>
      <c r="AV395" s="229"/>
      <c r="AW395" s="5"/>
      <c r="AX395" s="5"/>
      <c r="AY395" s="5"/>
      <c r="AZ395" s="5"/>
      <c r="BA395" s="5"/>
      <c r="BB395" s="5"/>
      <c r="BC395" s="5"/>
      <c r="BD395" s="5"/>
      <c r="BE395" s="5"/>
      <c r="BF395" s="5"/>
      <c r="BG395" s="5"/>
    </row>
    <row r="396" customFormat="false" ht="15" hidden="false" customHeight="true" outlineLevel="0" collapsed="false">
      <c r="A396" s="88" t="s">
        <v>699</v>
      </c>
      <c r="B396" s="88" t="s">
        <v>83</v>
      </c>
      <c r="C396" s="88"/>
      <c r="D396" s="88"/>
      <c r="E396" s="88" t="s">
        <v>84</v>
      </c>
      <c r="F396" s="88"/>
      <c r="G396" s="88"/>
      <c r="H396" s="88" t="s">
        <v>85</v>
      </c>
      <c r="I396" s="88"/>
      <c r="J396" s="88"/>
      <c r="U396" s="212" t="s">
        <v>113</v>
      </c>
      <c r="V396" s="212" t="s">
        <v>557</v>
      </c>
      <c r="W396" s="212"/>
      <c r="X396" s="212"/>
      <c r="Y396" s="225"/>
      <c r="Z396" s="225"/>
      <c r="AA396" s="226" t="n">
        <v>432</v>
      </c>
      <c r="AB396" s="227" t="s">
        <v>700</v>
      </c>
      <c r="AC396" s="241" t="n">
        <v>155</v>
      </c>
      <c r="AD396" s="243" t="s">
        <v>701</v>
      </c>
      <c r="AE396" s="229"/>
      <c r="AF396" s="229"/>
      <c r="AG396" s="229"/>
      <c r="AH396" s="238"/>
      <c r="AI396" s="240"/>
      <c r="AJ396" s="229"/>
      <c r="AK396" s="231"/>
      <c r="AL396" s="299"/>
      <c r="AM396" s="299"/>
      <c r="AN396" s="295"/>
      <c r="AO396" s="296"/>
      <c r="AP396" s="229"/>
      <c r="AQ396" s="300"/>
      <c r="AR396" s="278"/>
      <c r="AS396" s="277"/>
      <c r="AT396" s="229"/>
      <c r="AU396" s="229"/>
      <c r="AV396" s="229"/>
      <c r="AW396" s="5"/>
      <c r="AX396" s="5"/>
      <c r="AY396" s="5"/>
      <c r="AZ396" s="5"/>
      <c r="BA396" s="5"/>
      <c r="BB396" s="5"/>
      <c r="BC396" s="5"/>
      <c r="BD396" s="5"/>
      <c r="BE396" s="5"/>
      <c r="BF396" s="5"/>
      <c r="BG396" s="5"/>
    </row>
    <row r="397" customFormat="false" ht="15" hidden="false" customHeight="true" outlineLevel="0" collapsed="false">
      <c r="A397" s="88"/>
      <c r="B397" s="88" t="s">
        <v>15</v>
      </c>
      <c r="C397" s="90" t="s">
        <v>98</v>
      </c>
      <c r="D397" s="95" t="s">
        <v>17</v>
      </c>
      <c r="E397" s="92" t="s">
        <v>15</v>
      </c>
      <c r="F397" s="90" t="s">
        <v>98</v>
      </c>
      <c r="G397" s="95" t="s">
        <v>17</v>
      </c>
      <c r="H397" s="88" t="s">
        <v>15</v>
      </c>
      <c r="I397" s="90" t="s">
        <v>98</v>
      </c>
      <c r="J397" s="95" t="s">
        <v>17</v>
      </c>
      <c r="U397" s="381" t="n">
        <v>1</v>
      </c>
      <c r="V397" s="212" t="s">
        <v>702</v>
      </c>
      <c r="W397" s="212"/>
      <c r="X397" s="212"/>
      <c r="Y397" s="225"/>
      <c r="Z397" s="225"/>
      <c r="AA397" s="226" t="n">
        <v>433</v>
      </c>
      <c r="AB397" s="227" t="s">
        <v>703</v>
      </c>
      <c r="AC397" s="241" t="n">
        <v>156</v>
      </c>
      <c r="AD397" s="243" t="s">
        <v>704</v>
      </c>
      <c r="AE397" s="229"/>
      <c r="AF397" s="229"/>
      <c r="AG397" s="229"/>
      <c r="AH397" s="238"/>
      <c r="AI397" s="240"/>
      <c r="AJ397" s="229"/>
      <c r="AK397" s="231"/>
      <c r="AL397" s="299"/>
      <c r="AM397" s="299"/>
      <c r="AN397" s="295"/>
      <c r="AO397" s="296"/>
      <c r="AP397" s="229"/>
      <c r="AQ397" s="300"/>
      <c r="AR397" s="278"/>
      <c r="AS397" s="277"/>
      <c r="AT397" s="229"/>
      <c r="AU397" s="229"/>
      <c r="AV397" s="229"/>
      <c r="AW397" s="5"/>
      <c r="AX397" s="5"/>
      <c r="AY397" s="5"/>
      <c r="AZ397" s="5"/>
      <c r="BA397" s="5"/>
      <c r="BB397" s="5"/>
      <c r="BC397" s="5"/>
      <c r="BD397" s="5"/>
      <c r="BE397" s="5"/>
      <c r="BF397" s="5"/>
      <c r="BG397" s="5"/>
    </row>
    <row r="398" customFormat="false" ht="15" hidden="false" customHeight="true" outlineLevel="0" collapsed="false">
      <c r="A398" s="96"/>
      <c r="B398" s="382"/>
      <c r="C398" s="383"/>
      <c r="D398" s="99" t="n">
        <f aca="false">$B$398+$C$398</f>
        <v>0</v>
      </c>
      <c r="E398" s="384"/>
      <c r="F398" s="383"/>
      <c r="G398" s="99" t="n">
        <f aca="false">$E$398+$F$398</f>
        <v>0</v>
      </c>
      <c r="H398" s="382"/>
      <c r="I398" s="383"/>
      <c r="J398" s="99" t="n">
        <f aca="false">$H$398+$I$398</f>
        <v>0</v>
      </c>
      <c r="U398" s="381" t="n">
        <v>2</v>
      </c>
      <c r="V398" s="212" t="s">
        <v>705</v>
      </c>
      <c r="W398" s="212"/>
      <c r="X398" s="212"/>
      <c r="Y398" s="225"/>
      <c r="Z398" s="225"/>
      <c r="AA398" s="226" t="n">
        <v>434</v>
      </c>
      <c r="AB398" s="227" t="s">
        <v>706</v>
      </c>
      <c r="AC398" s="241" t="n">
        <v>157</v>
      </c>
      <c r="AD398" s="243" t="s">
        <v>707</v>
      </c>
      <c r="AE398" s="229"/>
      <c r="AF398" s="229"/>
      <c r="AG398" s="229"/>
      <c r="AH398" s="238"/>
      <c r="AI398" s="240"/>
      <c r="AJ398" s="229"/>
      <c r="AK398" s="231"/>
      <c r="AL398" s="299"/>
      <c r="AM398" s="299"/>
      <c r="AN398" s="295"/>
      <c r="AO398" s="296"/>
      <c r="AP398" s="229"/>
      <c r="AQ398" s="300"/>
      <c r="AR398" s="278"/>
      <c r="AS398" s="277"/>
      <c r="AT398" s="229"/>
      <c r="AU398" s="229"/>
      <c r="AV398" s="229"/>
      <c r="AW398" s="5"/>
      <c r="AX398" s="5"/>
      <c r="AY398" s="5"/>
      <c r="AZ398" s="5"/>
      <c r="BA398" s="5"/>
      <c r="BB398" s="5"/>
      <c r="BC398" s="5"/>
      <c r="BD398" s="5"/>
      <c r="BE398" s="5"/>
      <c r="BF398" s="5"/>
      <c r="BG398" s="5"/>
    </row>
    <row r="399" customFormat="false" ht="15" hidden="false" customHeight="true" outlineLevel="0" collapsed="false">
      <c r="A399" s="101"/>
      <c r="B399" s="385"/>
      <c r="C399" s="347"/>
      <c r="D399" s="104" t="n">
        <f aca="false">$B$399+$C$399</f>
        <v>0</v>
      </c>
      <c r="E399" s="386"/>
      <c r="F399" s="347"/>
      <c r="G399" s="104" t="n">
        <f aca="false">$E$399+$F$399</f>
        <v>0</v>
      </c>
      <c r="H399" s="385"/>
      <c r="I399" s="347"/>
      <c r="J399" s="104" t="n">
        <f aca="false">$H$399+$I$399</f>
        <v>0</v>
      </c>
      <c r="U399" s="381" t="n">
        <v>3</v>
      </c>
      <c r="V399" s="212" t="s">
        <v>708</v>
      </c>
      <c r="W399" s="212"/>
      <c r="X399" s="212"/>
      <c r="Y399" s="225"/>
      <c r="Z399" s="225"/>
      <c r="AA399" s="226" t="n">
        <v>435</v>
      </c>
      <c r="AB399" s="227" t="s">
        <v>709</v>
      </c>
      <c r="AC399" s="241" t="n">
        <v>158</v>
      </c>
      <c r="AD399" s="243" t="s">
        <v>710</v>
      </c>
      <c r="AE399" s="229"/>
      <c r="AF399" s="229"/>
      <c r="AG399" s="229"/>
      <c r="AH399" s="238"/>
      <c r="AI399" s="240"/>
      <c r="AJ399" s="229"/>
      <c r="AK399" s="231"/>
      <c r="AL399" s="299"/>
      <c r="AM399" s="299"/>
      <c r="AN399" s="295"/>
      <c r="AO399" s="296"/>
      <c r="AP399" s="229"/>
      <c r="AQ399" s="300"/>
      <c r="AR399" s="278"/>
      <c r="AS399" s="277"/>
      <c r="AT399" s="229"/>
      <c r="AU399" s="229"/>
      <c r="AV399" s="229"/>
      <c r="AW399" s="5"/>
      <c r="AX399" s="5"/>
      <c r="AY399" s="5"/>
      <c r="AZ399" s="5"/>
      <c r="BA399" s="5"/>
      <c r="BB399" s="5"/>
      <c r="BC399" s="5"/>
      <c r="BD399" s="5"/>
      <c r="BE399" s="5"/>
      <c r="BF399" s="5"/>
      <c r="BG399" s="5"/>
    </row>
    <row r="400" customFormat="false" ht="15" hidden="false" customHeight="true" outlineLevel="0" collapsed="false">
      <c r="A400" s="101"/>
      <c r="B400" s="385"/>
      <c r="C400" s="347"/>
      <c r="D400" s="104" t="n">
        <f aca="false">$B$400+$C$400</f>
        <v>0</v>
      </c>
      <c r="E400" s="386"/>
      <c r="F400" s="347"/>
      <c r="G400" s="104" t="n">
        <f aca="false">$E$400+$F$400</f>
        <v>0</v>
      </c>
      <c r="H400" s="385"/>
      <c r="I400" s="347"/>
      <c r="J400" s="104" t="n">
        <f aca="false">$H$400+$I$400</f>
        <v>0</v>
      </c>
      <c r="U400" s="381" t="n">
        <v>4</v>
      </c>
      <c r="V400" s="212" t="s">
        <v>711</v>
      </c>
      <c r="W400" s="212"/>
      <c r="X400" s="212"/>
      <c r="Y400" s="225"/>
      <c r="Z400" s="225"/>
      <c r="AA400" s="226" t="n">
        <v>436</v>
      </c>
      <c r="AB400" s="227" t="s">
        <v>712</v>
      </c>
      <c r="AC400" s="241" t="n">
        <v>159</v>
      </c>
      <c r="AD400" s="243" t="s">
        <v>713</v>
      </c>
      <c r="AE400" s="229"/>
      <c r="AF400" s="229"/>
      <c r="AG400" s="229"/>
      <c r="AH400" s="238"/>
      <c r="AI400" s="240"/>
      <c r="AJ400" s="229"/>
      <c r="AK400" s="231"/>
      <c r="AL400" s="299"/>
      <c r="AM400" s="299"/>
      <c r="AN400" s="295"/>
      <c r="AO400" s="296"/>
      <c r="AP400" s="229"/>
      <c r="AQ400" s="300"/>
      <c r="AR400" s="278"/>
      <c r="AS400" s="277"/>
      <c r="AT400" s="229"/>
      <c r="AU400" s="229"/>
      <c r="AV400" s="229"/>
      <c r="AW400" s="5"/>
      <c r="AX400" s="5"/>
      <c r="AY400" s="5"/>
      <c r="AZ400" s="5"/>
      <c r="BA400" s="5"/>
      <c r="BB400" s="5"/>
      <c r="BC400" s="5"/>
      <c r="BD400" s="5"/>
      <c r="BE400" s="5"/>
      <c r="BF400" s="5"/>
      <c r="BG400" s="5"/>
    </row>
    <row r="401" customFormat="false" ht="15" hidden="false" customHeight="true" outlineLevel="0" collapsed="false">
      <c r="A401" s="101"/>
      <c r="B401" s="385"/>
      <c r="C401" s="347"/>
      <c r="D401" s="104" t="n">
        <f aca="false">$B$401+$C$401</f>
        <v>0</v>
      </c>
      <c r="E401" s="386"/>
      <c r="F401" s="347"/>
      <c r="G401" s="104" t="n">
        <f aca="false">$E$401+$F$401</f>
        <v>0</v>
      </c>
      <c r="H401" s="385"/>
      <c r="I401" s="347"/>
      <c r="J401" s="104" t="n">
        <f aca="false">$H$401+$I$401</f>
        <v>0</v>
      </c>
      <c r="U401" s="381" t="n">
        <v>5</v>
      </c>
      <c r="V401" s="212" t="s">
        <v>714</v>
      </c>
      <c r="W401" s="212"/>
      <c r="X401" s="212"/>
      <c r="Y401" s="225"/>
      <c r="Z401" s="225"/>
      <c r="AA401" s="226" t="n">
        <v>437</v>
      </c>
      <c r="AB401" s="227" t="s">
        <v>715</v>
      </c>
      <c r="AC401" s="241" t="n">
        <v>160</v>
      </c>
      <c r="AD401" s="243" t="s">
        <v>716</v>
      </c>
      <c r="AE401" s="229"/>
      <c r="AF401" s="229"/>
      <c r="AG401" s="229"/>
      <c r="AH401" s="238"/>
      <c r="AI401" s="240"/>
      <c r="AJ401" s="229"/>
      <c r="AK401" s="231"/>
      <c r="AL401" s="299"/>
      <c r="AM401" s="299"/>
      <c r="AN401" s="295"/>
      <c r="AO401" s="296"/>
      <c r="AP401" s="229"/>
      <c r="AQ401" s="300"/>
      <c r="AR401" s="278"/>
      <c r="AS401" s="277"/>
      <c r="AT401" s="229"/>
      <c r="AU401" s="229"/>
      <c r="AV401" s="229"/>
      <c r="AW401" s="5"/>
      <c r="AX401" s="5"/>
      <c r="AY401" s="5"/>
      <c r="AZ401" s="5"/>
      <c r="BA401" s="5"/>
      <c r="BB401" s="5"/>
      <c r="BC401" s="5"/>
      <c r="BD401" s="5"/>
      <c r="BE401" s="5"/>
      <c r="BF401" s="5"/>
      <c r="BG401" s="5"/>
    </row>
    <row r="402" customFormat="false" ht="15" hidden="false" customHeight="true" outlineLevel="0" collapsed="false">
      <c r="A402" s="101"/>
      <c r="B402" s="385"/>
      <c r="C402" s="347"/>
      <c r="D402" s="104" t="n">
        <f aca="false">$B$402+$C$402</f>
        <v>0</v>
      </c>
      <c r="E402" s="386"/>
      <c r="F402" s="347"/>
      <c r="G402" s="104" t="n">
        <f aca="false">$E$402+$F$402</f>
        <v>0</v>
      </c>
      <c r="H402" s="385"/>
      <c r="I402" s="347"/>
      <c r="J402" s="104" t="n">
        <f aca="false">$H$402+$I$402</f>
        <v>0</v>
      </c>
      <c r="U402" s="381" t="n">
        <v>6</v>
      </c>
      <c r="V402" s="212" t="s">
        <v>717</v>
      </c>
      <c r="W402" s="212"/>
      <c r="X402" s="212"/>
      <c r="Y402" s="225"/>
      <c r="Z402" s="225"/>
      <c r="AA402" s="226" t="n">
        <v>438</v>
      </c>
      <c r="AB402" s="227" t="s">
        <v>718</v>
      </c>
      <c r="AC402" s="241" t="n">
        <v>161</v>
      </c>
      <c r="AD402" s="243" t="s">
        <v>719</v>
      </c>
      <c r="AE402" s="229"/>
      <c r="AF402" s="229"/>
      <c r="AG402" s="229"/>
      <c r="AH402" s="238"/>
      <c r="AI402" s="240"/>
      <c r="AJ402" s="229"/>
      <c r="AK402" s="231"/>
      <c r="AL402" s="299"/>
      <c r="AM402" s="299"/>
      <c r="AN402" s="295"/>
      <c r="AO402" s="296"/>
      <c r="AP402" s="229"/>
      <c r="AQ402" s="300"/>
      <c r="AR402" s="278"/>
      <c r="AS402" s="277"/>
      <c r="AT402" s="229"/>
      <c r="AU402" s="229"/>
      <c r="AV402" s="229"/>
      <c r="AW402" s="5"/>
      <c r="AX402" s="5"/>
      <c r="AY402" s="5"/>
      <c r="AZ402" s="5"/>
      <c r="BA402" s="5"/>
      <c r="BB402" s="5"/>
      <c r="BC402" s="5"/>
      <c r="BD402" s="5"/>
      <c r="BE402" s="5"/>
      <c r="BF402" s="5"/>
      <c r="BG402" s="5"/>
    </row>
    <row r="403" customFormat="false" ht="15" hidden="false" customHeight="true" outlineLevel="0" collapsed="false">
      <c r="A403" s="101"/>
      <c r="B403" s="385"/>
      <c r="C403" s="347"/>
      <c r="D403" s="104" t="n">
        <f aca="false">$B$403+$C$403</f>
        <v>0</v>
      </c>
      <c r="E403" s="386"/>
      <c r="F403" s="347"/>
      <c r="G403" s="104" t="n">
        <f aca="false">$E$403+$F$403</f>
        <v>0</v>
      </c>
      <c r="H403" s="385"/>
      <c r="I403" s="347"/>
      <c r="J403" s="104" t="n">
        <f aca="false">$H$403+$I$403</f>
        <v>0</v>
      </c>
      <c r="U403" s="212"/>
      <c r="V403" s="212"/>
      <c r="W403" s="212"/>
      <c r="X403" s="212"/>
      <c r="Y403" s="225"/>
      <c r="Z403" s="225"/>
      <c r="AA403" s="226" t="n">
        <v>439</v>
      </c>
      <c r="AB403" s="227" t="s">
        <v>487</v>
      </c>
      <c r="AC403" s="241" t="n">
        <v>162</v>
      </c>
      <c r="AD403" s="243" t="s">
        <v>720</v>
      </c>
      <c r="AE403" s="229"/>
      <c r="AF403" s="229"/>
      <c r="AG403" s="229"/>
      <c r="AH403" s="238"/>
      <c r="AI403" s="240"/>
      <c r="AJ403" s="229"/>
      <c r="AK403" s="231"/>
      <c r="AL403" s="299"/>
      <c r="AM403" s="299"/>
      <c r="AN403" s="295"/>
      <c r="AO403" s="296"/>
      <c r="AP403" s="229"/>
      <c r="AQ403" s="300"/>
      <c r="AR403" s="278"/>
      <c r="AS403" s="277"/>
      <c r="AT403" s="229"/>
      <c r="AU403" s="229"/>
      <c r="AV403" s="229"/>
      <c r="AW403" s="5"/>
      <c r="AX403" s="5"/>
      <c r="AY403" s="5"/>
      <c r="AZ403" s="5"/>
      <c r="BA403" s="5"/>
      <c r="BB403" s="5"/>
      <c r="BC403" s="5"/>
      <c r="BD403" s="5"/>
      <c r="BE403" s="5"/>
      <c r="BF403" s="5"/>
      <c r="BG403" s="5"/>
    </row>
    <row r="404" customFormat="false" ht="15" hidden="false" customHeight="true" outlineLevel="0" collapsed="false">
      <c r="A404" s="101"/>
      <c r="B404" s="385"/>
      <c r="C404" s="347"/>
      <c r="D404" s="104" t="n">
        <f aca="false">$B$404+$C$404</f>
        <v>0</v>
      </c>
      <c r="E404" s="386"/>
      <c r="F404" s="347"/>
      <c r="G404" s="104" t="n">
        <f aca="false">$E$404+$F$404</f>
        <v>0</v>
      </c>
      <c r="H404" s="385"/>
      <c r="I404" s="347"/>
      <c r="J404" s="104" t="n">
        <f aca="false">$H$404+$I$404</f>
        <v>0</v>
      </c>
      <c r="U404" s="212"/>
      <c r="V404" s="212"/>
      <c r="W404" s="212"/>
      <c r="X404" s="212"/>
      <c r="Y404" s="225"/>
      <c r="Z404" s="225"/>
      <c r="AA404" s="226" t="n">
        <v>440</v>
      </c>
      <c r="AB404" s="227" t="s">
        <v>721</v>
      </c>
      <c r="AC404" s="241" t="n">
        <v>163</v>
      </c>
      <c r="AD404" s="243" t="s">
        <v>722</v>
      </c>
      <c r="AE404" s="229"/>
      <c r="AF404" s="229"/>
      <c r="AG404" s="229"/>
      <c r="AH404" s="238"/>
      <c r="AI404" s="240"/>
      <c r="AJ404" s="229"/>
      <c r="AK404" s="231"/>
      <c r="AL404" s="299"/>
      <c r="AM404" s="299"/>
      <c r="AN404" s="295"/>
      <c r="AO404" s="296"/>
      <c r="AP404" s="229"/>
      <c r="AQ404" s="300"/>
      <c r="AR404" s="278"/>
      <c r="AS404" s="277"/>
      <c r="AT404" s="229"/>
      <c r="AU404" s="229"/>
      <c r="AV404" s="229"/>
      <c r="AW404" s="5"/>
      <c r="AX404" s="5"/>
      <c r="AY404" s="5"/>
      <c r="AZ404" s="5"/>
      <c r="BA404" s="5"/>
      <c r="BB404" s="5"/>
      <c r="BC404" s="5"/>
      <c r="BD404" s="5"/>
      <c r="BE404" s="5"/>
      <c r="BF404" s="5"/>
      <c r="BG404" s="5"/>
    </row>
    <row r="405" customFormat="false" ht="15" hidden="false" customHeight="true" outlineLevel="0" collapsed="false">
      <c r="A405" s="101"/>
      <c r="B405" s="385"/>
      <c r="C405" s="347"/>
      <c r="D405" s="104" t="n">
        <f aca="false">$B$405+$C$405</f>
        <v>0</v>
      </c>
      <c r="E405" s="386"/>
      <c r="F405" s="347"/>
      <c r="G405" s="104" t="n">
        <f aca="false">$E$405+$F$405</f>
        <v>0</v>
      </c>
      <c r="H405" s="385"/>
      <c r="I405" s="347"/>
      <c r="J405" s="104" t="n">
        <f aca="false">$H$405+$I$405</f>
        <v>0</v>
      </c>
      <c r="U405" s="212"/>
      <c r="V405" s="212"/>
      <c r="W405" s="212"/>
      <c r="X405" s="212"/>
      <c r="Y405" s="225"/>
      <c r="Z405" s="225"/>
      <c r="AA405" s="226" t="n">
        <v>441</v>
      </c>
      <c r="AB405" s="227" t="s">
        <v>723</v>
      </c>
      <c r="AC405" s="241" t="n">
        <v>164</v>
      </c>
      <c r="AD405" s="243" t="s">
        <v>166</v>
      </c>
      <c r="AE405" s="229"/>
      <c r="AF405" s="229"/>
      <c r="AG405" s="229"/>
      <c r="AH405" s="238"/>
      <c r="AI405" s="240"/>
      <c r="AJ405" s="229"/>
      <c r="AK405" s="231"/>
      <c r="AL405" s="299"/>
      <c r="AM405" s="299"/>
      <c r="AN405" s="295"/>
      <c r="AO405" s="296"/>
      <c r="AP405" s="229"/>
      <c r="AQ405" s="300"/>
      <c r="AR405" s="278"/>
      <c r="AS405" s="277"/>
      <c r="AT405" s="229"/>
      <c r="AU405" s="229"/>
      <c r="AV405" s="229"/>
      <c r="AW405" s="5"/>
      <c r="AX405" s="5"/>
      <c r="AY405" s="5"/>
      <c r="AZ405" s="5"/>
      <c r="BA405" s="5"/>
      <c r="BB405" s="5"/>
      <c r="BC405" s="5"/>
      <c r="BD405" s="5"/>
      <c r="BE405" s="5"/>
      <c r="BF405" s="5"/>
      <c r="BG405" s="5"/>
    </row>
    <row r="406" customFormat="false" ht="15" hidden="false" customHeight="true" outlineLevel="0" collapsed="false">
      <c r="A406" s="101"/>
      <c r="B406" s="385"/>
      <c r="C406" s="347"/>
      <c r="D406" s="104" t="n">
        <f aca="false">$B$406+$C$406</f>
        <v>0</v>
      </c>
      <c r="E406" s="386"/>
      <c r="F406" s="347"/>
      <c r="G406" s="104" t="n">
        <f aca="false">$E$406+$F$406</f>
        <v>0</v>
      </c>
      <c r="H406" s="385"/>
      <c r="I406" s="347"/>
      <c r="J406" s="104" t="n">
        <f aca="false">$H$406+$I$406</f>
        <v>0</v>
      </c>
      <c r="U406" s="212"/>
      <c r="V406" s="212"/>
      <c r="W406" s="212"/>
      <c r="X406" s="212"/>
      <c r="Y406" s="225"/>
      <c r="Z406" s="225"/>
      <c r="AA406" s="226" t="n">
        <v>442</v>
      </c>
      <c r="AB406" s="227" t="s">
        <v>724</v>
      </c>
      <c r="AC406" s="241" t="n">
        <v>165</v>
      </c>
      <c r="AD406" s="243" t="s">
        <v>725</v>
      </c>
      <c r="AE406" s="229"/>
      <c r="AF406" s="229"/>
      <c r="AG406" s="229"/>
      <c r="AH406" s="238"/>
      <c r="AI406" s="240"/>
      <c r="AJ406" s="229"/>
      <c r="AK406" s="231"/>
      <c r="AL406" s="299"/>
      <c r="AM406" s="299"/>
      <c r="AN406" s="295"/>
      <c r="AO406" s="296"/>
      <c r="AP406" s="229"/>
      <c r="AQ406" s="300"/>
      <c r="AR406" s="278"/>
      <c r="AS406" s="277"/>
      <c r="AT406" s="229"/>
      <c r="AU406" s="229"/>
      <c r="AV406" s="229"/>
      <c r="AW406" s="5"/>
      <c r="AX406" s="5"/>
      <c r="AY406" s="5"/>
      <c r="AZ406" s="5"/>
      <c r="BA406" s="5"/>
      <c r="BB406" s="5"/>
      <c r="BC406" s="5"/>
      <c r="BD406" s="5"/>
      <c r="BE406" s="5"/>
      <c r="BF406" s="5"/>
      <c r="BG406" s="5"/>
    </row>
    <row r="407" customFormat="false" ht="15" hidden="false" customHeight="true" outlineLevel="0" collapsed="false">
      <c r="A407" s="101"/>
      <c r="B407" s="385"/>
      <c r="C407" s="347"/>
      <c r="D407" s="104" t="n">
        <f aca="false">$B$407+$C$407</f>
        <v>0</v>
      </c>
      <c r="E407" s="386"/>
      <c r="F407" s="347"/>
      <c r="G407" s="104" t="n">
        <f aca="false">$E$407+$F$407</f>
        <v>0</v>
      </c>
      <c r="H407" s="385"/>
      <c r="I407" s="347"/>
      <c r="J407" s="104" t="n">
        <f aca="false">$H$407+$I$407</f>
        <v>0</v>
      </c>
      <c r="U407" s="212"/>
      <c r="V407" s="212"/>
      <c r="W407" s="212"/>
      <c r="X407" s="212"/>
      <c r="Y407" s="225"/>
      <c r="Z407" s="225"/>
      <c r="AA407" s="226" t="n">
        <v>443</v>
      </c>
      <c r="AB407" s="227" t="s">
        <v>726</v>
      </c>
      <c r="AC407" s="241" t="n">
        <v>166</v>
      </c>
      <c r="AD407" s="243" t="s">
        <v>727</v>
      </c>
      <c r="AE407" s="229"/>
      <c r="AF407" s="229"/>
      <c r="AG407" s="229"/>
      <c r="AH407" s="238"/>
      <c r="AI407" s="240"/>
      <c r="AJ407" s="229"/>
      <c r="AK407" s="231"/>
      <c r="AL407" s="299"/>
      <c r="AM407" s="299"/>
      <c r="AN407" s="295"/>
      <c r="AO407" s="296"/>
      <c r="AP407" s="229"/>
      <c r="AQ407" s="300"/>
      <c r="AR407" s="278"/>
      <c r="AS407" s="277"/>
      <c r="AT407" s="229"/>
      <c r="AU407" s="229"/>
      <c r="AV407" s="229"/>
      <c r="AW407" s="5"/>
      <c r="AX407" s="5"/>
      <c r="AY407" s="5"/>
      <c r="AZ407" s="5"/>
      <c r="BA407" s="5"/>
      <c r="BB407" s="5"/>
      <c r="BC407" s="5"/>
      <c r="BD407" s="5"/>
      <c r="BE407" s="5"/>
      <c r="BF407" s="5"/>
      <c r="BG407" s="5"/>
    </row>
    <row r="408" customFormat="false" ht="15" hidden="false" customHeight="true" outlineLevel="0" collapsed="false">
      <c r="A408" s="387"/>
      <c r="B408" s="388"/>
      <c r="C408" s="389"/>
      <c r="D408" s="112" t="n">
        <f aca="false">$B$408+$C$408</f>
        <v>0</v>
      </c>
      <c r="E408" s="390"/>
      <c r="F408" s="389"/>
      <c r="G408" s="112" t="n">
        <f aca="false">$E$408+$F$408</f>
        <v>0</v>
      </c>
      <c r="H408" s="388"/>
      <c r="I408" s="389"/>
      <c r="J408" s="112" t="n">
        <f aca="false">$H$408+$I$408</f>
        <v>0</v>
      </c>
      <c r="U408" s="212"/>
      <c r="V408" s="212"/>
      <c r="W408" s="212"/>
      <c r="X408" s="212"/>
      <c r="Y408" s="225"/>
      <c r="Z408" s="225"/>
      <c r="AA408" s="226" t="n">
        <v>444</v>
      </c>
      <c r="AB408" s="227" t="s">
        <v>728</v>
      </c>
      <c r="AC408" s="241" t="n">
        <v>167</v>
      </c>
      <c r="AD408" s="243" t="s">
        <v>729</v>
      </c>
      <c r="AE408" s="229"/>
      <c r="AF408" s="229"/>
      <c r="AG408" s="229"/>
      <c r="AH408" s="238"/>
      <c r="AI408" s="240"/>
      <c r="AJ408" s="229"/>
      <c r="AK408" s="231"/>
      <c r="AL408" s="299"/>
      <c r="AM408" s="299"/>
      <c r="AN408" s="295"/>
      <c r="AO408" s="296"/>
      <c r="AP408" s="229"/>
      <c r="AQ408" s="300"/>
      <c r="AR408" s="278"/>
      <c r="AS408" s="277"/>
      <c r="AT408" s="229"/>
      <c r="AU408" s="229"/>
      <c r="AV408" s="229"/>
      <c r="AW408" s="5"/>
      <c r="AX408" s="5"/>
      <c r="AY408" s="5"/>
      <c r="AZ408" s="5"/>
      <c r="BA408" s="5"/>
      <c r="BB408" s="5"/>
      <c r="BC408" s="5"/>
      <c r="BD408" s="5"/>
      <c r="BE408" s="5"/>
      <c r="BF408" s="5"/>
      <c r="BG408" s="5"/>
    </row>
    <row r="409" customFormat="false" ht="15" hidden="false" customHeight="true" outlineLevel="0" collapsed="false">
      <c r="A409" s="378" t="s">
        <v>17</v>
      </c>
      <c r="B409" s="118" t="n">
        <f aca="false">SUM(B398:B408)</f>
        <v>0</v>
      </c>
      <c r="C409" s="119" t="n">
        <f aca="false">SUM(C398:C408)</f>
        <v>0</v>
      </c>
      <c r="D409" s="95" t="n">
        <f aca="false">SUM(D398:D408)</f>
        <v>0</v>
      </c>
      <c r="E409" s="188" t="n">
        <f aca="false">SUM(E398:E408)</f>
        <v>0</v>
      </c>
      <c r="F409" s="119" t="n">
        <f aca="false">SUM(F398:F408)</f>
        <v>0</v>
      </c>
      <c r="G409" s="95" t="n">
        <f aca="false">SUM(G398:G408)</f>
        <v>0</v>
      </c>
      <c r="H409" s="118" t="n">
        <f aca="false">SUM(H398:H408)</f>
        <v>0</v>
      </c>
      <c r="I409" s="119" t="n">
        <f aca="false">SUM(I398:I408)</f>
        <v>0</v>
      </c>
      <c r="J409" s="95" t="n">
        <f aca="false">SUM(J398:J408)</f>
        <v>0</v>
      </c>
      <c r="U409" s="212"/>
      <c r="V409" s="212"/>
      <c r="W409" s="212"/>
      <c r="X409" s="212"/>
      <c r="Y409" s="225"/>
      <c r="Z409" s="225"/>
      <c r="AA409" s="226" t="n">
        <v>445</v>
      </c>
      <c r="AB409" s="227" t="s">
        <v>730</v>
      </c>
      <c r="AC409" s="241" t="n">
        <v>168</v>
      </c>
      <c r="AD409" s="243" t="s">
        <v>731</v>
      </c>
      <c r="AE409" s="229"/>
      <c r="AF409" s="229"/>
      <c r="AG409" s="229"/>
      <c r="AH409" s="238"/>
      <c r="AI409" s="240"/>
      <c r="AJ409" s="229"/>
      <c r="AK409" s="231"/>
      <c r="AL409" s="299"/>
      <c r="AM409" s="299"/>
      <c r="AN409" s="295"/>
      <c r="AO409" s="296"/>
      <c r="AP409" s="229"/>
      <c r="AQ409" s="300"/>
      <c r="AR409" s="278"/>
      <c r="AS409" s="277"/>
      <c r="AT409" s="229"/>
      <c r="AU409" s="229"/>
      <c r="AV409" s="229"/>
      <c r="AW409" s="5"/>
      <c r="AX409" s="5"/>
      <c r="AY409" s="5"/>
      <c r="AZ409" s="5"/>
      <c r="BA409" s="5"/>
      <c r="BB409" s="5"/>
      <c r="BC409" s="5"/>
      <c r="BD409" s="5"/>
      <c r="BE409" s="5"/>
      <c r="BF409" s="5"/>
      <c r="BG409" s="5"/>
    </row>
    <row r="410" customFormat="false" ht="15" hidden="false" customHeight="true" outlineLevel="0" collapsed="false">
      <c r="A410" s="380" t="s">
        <v>12</v>
      </c>
      <c r="B410" s="162" t="str">
        <f aca="false">IF(B409=I$181,"OK","Compare quadro 1.1")</f>
        <v>OK</v>
      </c>
      <c r="C410" s="162" t="str">
        <f aca="false">IF(C409=J$181,"OK","Compare com quadro 1.1")</f>
        <v>OK</v>
      </c>
      <c r="D410" s="162" t="str">
        <f aca="false">IF(D409=K$181,"OK","Compare com quadro 1.1")</f>
        <v>OK</v>
      </c>
      <c r="E410" s="162" t="str">
        <f aca="false">IF(E409=L$181,"OK","Compare com o quadro 1.1")</f>
        <v>OK</v>
      </c>
      <c r="F410" s="162" t="str">
        <f aca="false">IF(F409=M$181,"OK","Compare com o quadro 1.1")</f>
        <v>OK</v>
      </c>
      <c r="G410" s="162" t="str">
        <f aca="false">IF(G409=N$181,"OK","Compare com o quadro 1.1")</f>
        <v>OK</v>
      </c>
      <c r="H410" s="162" t="str">
        <f aca="false">IF(H409=O$181,"OK","Compare com o quadro 1.1")</f>
        <v>OK</v>
      </c>
      <c r="I410" s="162" t="str">
        <f aca="false">IF(I409=P$181,"OK","Compare com o quadro 1.1")</f>
        <v>OK</v>
      </c>
      <c r="J410" s="162" t="str">
        <f aca="false">IF(J409=Q$181,"OK","Compare quadro 1.1")</f>
        <v>OK</v>
      </c>
      <c r="U410" s="212"/>
      <c r="V410" s="212"/>
      <c r="W410" s="212"/>
      <c r="X410" s="212"/>
      <c r="Y410" s="225"/>
      <c r="Z410" s="225"/>
      <c r="AA410" s="226" t="n">
        <v>446</v>
      </c>
      <c r="AB410" s="227" t="s">
        <v>497</v>
      </c>
      <c r="AC410" s="241" t="n">
        <v>169</v>
      </c>
      <c r="AD410" s="243" t="s">
        <v>732</v>
      </c>
      <c r="AE410" s="229"/>
      <c r="AF410" s="229"/>
      <c r="AG410" s="229"/>
      <c r="AH410" s="238"/>
      <c r="AI410" s="240"/>
      <c r="AJ410" s="229"/>
      <c r="AK410" s="231"/>
      <c r="AL410" s="299"/>
      <c r="AM410" s="299"/>
      <c r="AN410" s="295"/>
      <c r="AO410" s="296"/>
      <c r="AP410" s="229"/>
      <c r="AQ410" s="300"/>
      <c r="AR410" s="278"/>
      <c r="AS410" s="277"/>
      <c r="AT410" s="229"/>
      <c r="AU410" s="229"/>
      <c r="AV410" s="229"/>
      <c r="AW410" s="5"/>
      <c r="AX410" s="5"/>
      <c r="AY410" s="5"/>
      <c r="AZ410" s="5"/>
      <c r="BA410" s="5"/>
      <c r="BB410" s="5"/>
      <c r="BC410" s="5"/>
      <c r="BD410" s="5"/>
      <c r="BE410" s="5"/>
      <c r="BF410" s="5"/>
      <c r="BG410" s="5"/>
    </row>
    <row r="411" customFormat="false" ht="15" hidden="false" customHeight="true" outlineLevel="0" collapsed="false">
      <c r="A411" s="271" t="s">
        <v>285</v>
      </c>
      <c r="U411" s="212"/>
      <c r="V411" s="212"/>
      <c r="W411" s="212"/>
      <c r="X411" s="212"/>
      <c r="Y411" s="225"/>
      <c r="Z411" s="225"/>
      <c r="AA411" s="226" t="n">
        <v>447</v>
      </c>
      <c r="AB411" s="227" t="s">
        <v>733</v>
      </c>
      <c r="AC411" s="241" t="n">
        <v>170</v>
      </c>
      <c r="AD411" s="243" t="s">
        <v>734</v>
      </c>
      <c r="AE411" s="229"/>
      <c r="AF411" s="229"/>
      <c r="AG411" s="229"/>
      <c r="AH411" s="238"/>
      <c r="AI411" s="240"/>
      <c r="AJ411" s="229"/>
      <c r="AK411" s="231"/>
      <c r="AL411" s="299"/>
      <c r="AM411" s="299"/>
      <c r="AN411" s="295"/>
      <c r="AO411" s="296"/>
      <c r="AP411" s="229"/>
      <c r="AQ411" s="300"/>
      <c r="AR411" s="278"/>
      <c r="AS411" s="277"/>
      <c r="AT411" s="229"/>
      <c r="AU411" s="229"/>
      <c r="AV411" s="229"/>
      <c r="AW411" s="5"/>
      <c r="AX411" s="5"/>
      <c r="AY411" s="5"/>
      <c r="AZ411" s="5"/>
      <c r="BA411" s="5"/>
      <c r="BB411" s="5"/>
      <c r="BC411" s="5"/>
      <c r="BD411" s="5"/>
      <c r="BE411" s="5"/>
      <c r="BF411" s="5"/>
      <c r="BG411" s="5"/>
    </row>
    <row r="412" customFormat="false" ht="15" hidden="false" customHeight="true" outlineLevel="0" collapsed="false">
      <c r="U412" s="212"/>
      <c r="V412" s="212"/>
      <c r="W412" s="212"/>
      <c r="X412" s="212"/>
      <c r="Y412" s="225"/>
      <c r="Z412" s="225"/>
      <c r="AA412" s="226" t="n">
        <v>448</v>
      </c>
      <c r="AB412" s="227" t="s">
        <v>735</v>
      </c>
      <c r="AC412" s="241" t="n">
        <v>171</v>
      </c>
      <c r="AD412" s="243" t="s">
        <v>736</v>
      </c>
      <c r="AE412" s="229"/>
      <c r="AF412" s="229"/>
      <c r="AG412" s="229"/>
      <c r="AH412" s="238"/>
      <c r="AI412" s="240"/>
      <c r="AJ412" s="229"/>
      <c r="AK412" s="231"/>
      <c r="AL412" s="299"/>
      <c r="AM412" s="299"/>
      <c r="AN412" s="295"/>
      <c r="AO412" s="296"/>
      <c r="AP412" s="229"/>
      <c r="AQ412" s="300"/>
      <c r="AR412" s="278"/>
      <c r="AS412" s="277"/>
      <c r="AT412" s="229"/>
      <c r="AU412" s="229"/>
      <c r="AV412" s="229"/>
      <c r="AW412" s="5"/>
      <c r="AX412" s="5"/>
      <c r="AY412" s="5"/>
      <c r="AZ412" s="5"/>
      <c r="BA412" s="5"/>
      <c r="BB412" s="5"/>
      <c r="BC412" s="5"/>
      <c r="BD412" s="5"/>
      <c r="BE412" s="5"/>
      <c r="BF412" s="5"/>
      <c r="BG412" s="5"/>
    </row>
    <row r="413" customFormat="false" ht="15" hidden="false" customHeight="true" outlineLevel="0" collapsed="false">
      <c r="U413" s="212"/>
      <c r="V413" s="212"/>
      <c r="W413" s="212"/>
      <c r="X413" s="212"/>
      <c r="Y413" s="225" t="n">
        <v>5</v>
      </c>
      <c r="Z413" s="225" t="s">
        <v>737</v>
      </c>
      <c r="AA413" s="226" t="n">
        <v>501</v>
      </c>
      <c r="AB413" s="227" t="s">
        <v>738</v>
      </c>
      <c r="AC413" s="241" t="n">
        <v>172</v>
      </c>
      <c r="AD413" s="243" t="s">
        <v>739</v>
      </c>
      <c r="AE413" s="229"/>
      <c r="AF413" s="229"/>
      <c r="AG413" s="229"/>
      <c r="AH413" s="238"/>
      <c r="AI413" s="240"/>
      <c r="AJ413" s="229"/>
      <c r="AK413" s="231"/>
      <c r="AL413" s="299"/>
      <c r="AM413" s="299"/>
      <c r="AN413" s="295"/>
      <c r="AO413" s="296"/>
      <c r="AP413" s="229"/>
      <c r="AQ413" s="300"/>
      <c r="AR413" s="278"/>
      <c r="AS413" s="277"/>
      <c r="AT413" s="229"/>
      <c r="AU413" s="229"/>
      <c r="AV413" s="229"/>
      <c r="AW413" s="5"/>
      <c r="AX413" s="5"/>
      <c r="AY413" s="5"/>
      <c r="AZ413" s="5"/>
      <c r="BA413" s="5"/>
      <c r="BB413" s="5"/>
      <c r="BC413" s="5"/>
      <c r="BD413" s="5"/>
      <c r="BE413" s="5"/>
      <c r="BF413" s="5"/>
      <c r="BG413" s="5"/>
    </row>
    <row r="414" customFormat="false" ht="15" hidden="false" customHeight="true" outlineLevel="0" collapsed="false">
      <c r="U414" s="212"/>
      <c r="V414" s="212"/>
      <c r="W414" s="212"/>
      <c r="X414" s="212"/>
      <c r="Y414" s="225"/>
      <c r="Z414" s="225"/>
      <c r="AA414" s="226" t="n">
        <v>502</v>
      </c>
      <c r="AB414" s="227" t="s">
        <v>740</v>
      </c>
      <c r="AC414" s="241" t="n">
        <v>173</v>
      </c>
      <c r="AD414" s="243" t="s">
        <v>741</v>
      </c>
      <c r="AE414" s="229"/>
      <c r="AF414" s="229"/>
      <c r="AG414" s="229"/>
      <c r="AH414" s="238"/>
      <c r="AI414" s="240"/>
      <c r="AJ414" s="229"/>
      <c r="AK414" s="231"/>
      <c r="AL414" s="299"/>
      <c r="AM414" s="299"/>
      <c r="AN414" s="295"/>
      <c r="AO414" s="296"/>
      <c r="AP414" s="229"/>
      <c r="AQ414" s="300"/>
      <c r="AR414" s="278"/>
      <c r="AS414" s="277"/>
      <c r="AT414" s="229"/>
      <c r="AU414" s="229"/>
      <c r="AV414" s="229"/>
      <c r="AW414" s="5"/>
      <c r="AX414" s="5"/>
      <c r="AY414" s="5"/>
      <c r="AZ414" s="5"/>
      <c r="BA414" s="5"/>
      <c r="BB414" s="5"/>
      <c r="BC414" s="5"/>
      <c r="BD414" s="5"/>
      <c r="BE414" s="5"/>
      <c r="BF414" s="5"/>
      <c r="BG414" s="5"/>
    </row>
    <row r="415" customFormat="false" ht="15" hidden="false" customHeight="true" outlineLevel="0" collapsed="false">
      <c r="U415" s="212"/>
      <c r="V415" s="212"/>
      <c r="W415" s="212"/>
      <c r="X415" s="212"/>
      <c r="Y415" s="225"/>
      <c r="Z415" s="225"/>
      <c r="AA415" s="226" t="n">
        <v>503</v>
      </c>
      <c r="AB415" s="227" t="s">
        <v>742</v>
      </c>
      <c r="AC415" s="241" t="n">
        <v>174</v>
      </c>
      <c r="AD415" s="243" t="s">
        <v>743</v>
      </c>
      <c r="AE415" s="229"/>
      <c r="AF415" s="229"/>
      <c r="AG415" s="229"/>
      <c r="AH415" s="238"/>
      <c r="AI415" s="240"/>
      <c r="AJ415" s="229"/>
      <c r="AK415" s="231"/>
      <c r="AL415" s="299"/>
      <c r="AM415" s="299"/>
      <c r="AN415" s="295"/>
      <c r="AO415" s="296"/>
      <c r="AP415" s="229"/>
      <c r="AQ415" s="300"/>
      <c r="AR415" s="278"/>
      <c r="AS415" s="277"/>
      <c r="AT415" s="229"/>
      <c r="AU415" s="229"/>
      <c r="AV415" s="229"/>
      <c r="AW415" s="5"/>
      <c r="AX415" s="5"/>
      <c r="AY415" s="5"/>
      <c r="AZ415" s="5"/>
      <c r="BA415" s="5"/>
      <c r="BB415" s="5"/>
      <c r="BC415" s="5"/>
      <c r="BD415" s="5"/>
      <c r="BE415" s="5"/>
      <c r="BF415" s="5"/>
      <c r="BG415" s="5"/>
    </row>
    <row r="416" customFormat="false" ht="15" hidden="false" customHeight="true" outlineLevel="0" collapsed="false">
      <c r="U416" s="212"/>
      <c r="V416" s="212"/>
      <c r="W416" s="212"/>
      <c r="X416" s="212"/>
      <c r="Y416" s="225"/>
      <c r="Z416" s="225"/>
      <c r="AA416" s="226" t="n">
        <v>504</v>
      </c>
      <c r="AB416" s="227" t="s">
        <v>744</v>
      </c>
      <c r="AC416" s="241" t="n">
        <v>175</v>
      </c>
      <c r="AD416" s="243" t="s">
        <v>745</v>
      </c>
      <c r="AE416" s="229"/>
      <c r="AF416" s="229"/>
      <c r="AG416" s="229"/>
      <c r="AH416" s="238"/>
      <c r="AI416" s="240"/>
      <c r="AJ416" s="229"/>
      <c r="AK416" s="231"/>
      <c r="AL416" s="299"/>
      <c r="AM416" s="299"/>
      <c r="AN416" s="295"/>
      <c r="AO416" s="296"/>
      <c r="AP416" s="229"/>
      <c r="AQ416" s="300"/>
      <c r="AR416" s="278"/>
      <c r="AS416" s="277"/>
      <c r="AT416" s="229"/>
      <c r="AU416" s="229"/>
      <c r="AV416" s="229"/>
      <c r="AW416" s="5"/>
      <c r="AX416" s="5"/>
      <c r="AY416" s="5"/>
      <c r="AZ416" s="5"/>
      <c r="BA416" s="5"/>
      <c r="BB416" s="5"/>
      <c r="BC416" s="5"/>
      <c r="BD416" s="5"/>
      <c r="BE416" s="5"/>
      <c r="BF416" s="5"/>
      <c r="BG416" s="5"/>
    </row>
    <row r="417" customFormat="false" ht="15" hidden="false" customHeight="true" outlineLevel="0" collapsed="false">
      <c r="U417" s="212"/>
      <c r="V417" s="212"/>
      <c r="W417" s="212"/>
      <c r="X417" s="212"/>
      <c r="Y417" s="225"/>
      <c r="Z417" s="225"/>
      <c r="AA417" s="226" t="n">
        <v>505</v>
      </c>
      <c r="AB417" s="227" t="s">
        <v>746</v>
      </c>
      <c r="AC417" s="241" t="n">
        <v>176</v>
      </c>
      <c r="AD417" s="243" t="s">
        <v>747</v>
      </c>
      <c r="AE417" s="229"/>
      <c r="AF417" s="229"/>
      <c r="AG417" s="229"/>
      <c r="AH417" s="238"/>
      <c r="AI417" s="240"/>
      <c r="AJ417" s="229"/>
      <c r="AK417" s="231"/>
      <c r="AL417" s="299"/>
      <c r="AM417" s="299"/>
      <c r="AN417" s="295"/>
      <c r="AO417" s="296"/>
      <c r="AP417" s="229"/>
      <c r="AQ417" s="300"/>
      <c r="AR417" s="278"/>
      <c r="AS417" s="277"/>
      <c r="AT417" s="229"/>
      <c r="AU417" s="229"/>
      <c r="AV417" s="229"/>
      <c r="AW417" s="5"/>
      <c r="AX417" s="5"/>
      <c r="AY417" s="5"/>
      <c r="AZ417" s="5"/>
      <c r="BA417" s="5"/>
      <c r="BB417" s="5"/>
      <c r="BC417" s="5"/>
      <c r="BD417" s="5"/>
      <c r="BE417" s="5"/>
      <c r="BF417" s="5"/>
      <c r="BG417" s="5"/>
    </row>
    <row r="418" customFormat="false" ht="15" hidden="false" customHeight="true" outlineLevel="0" collapsed="false">
      <c r="U418" s="212"/>
      <c r="V418" s="212"/>
      <c r="W418" s="212"/>
      <c r="X418" s="212"/>
      <c r="Y418" s="225"/>
      <c r="Z418" s="225"/>
      <c r="AA418" s="226" t="n">
        <v>506</v>
      </c>
      <c r="AB418" s="227" t="s">
        <v>748</v>
      </c>
      <c r="AC418" s="241" t="n">
        <v>177</v>
      </c>
      <c r="AD418" s="243" t="s">
        <v>749</v>
      </c>
      <c r="AE418" s="229"/>
      <c r="AF418" s="229"/>
      <c r="AG418" s="229"/>
      <c r="AH418" s="238"/>
      <c r="AI418" s="240"/>
      <c r="AJ418" s="229"/>
      <c r="AK418" s="231"/>
      <c r="AL418" s="299"/>
      <c r="AM418" s="299"/>
      <c r="AN418" s="295"/>
      <c r="AO418" s="296"/>
      <c r="AP418" s="229"/>
      <c r="AQ418" s="300"/>
      <c r="AR418" s="278"/>
      <c r="AS418" s="277"/>
      <c r="AT418" s="229"/>
      <c r="AU418" s="229"/>
      <c r="AV418" s="229"/>
      <c r="AW418" s="5"/>
      <c r="AX418" s="5"/>
      <c r="AY418" s="5"/>
      <c r="AZ418" s="5"/>
      <c r="BA418" s="5"/>
      <c r="BB418" s="5"/>
      <c r="BC418" s="5"/>
      <c r="BD418" s="5"/>
      <c r="BE418" s="5"/>
      <c r="BF418" s="5"/>
      <c r="BG418" s="5"/>
    </row>
    <row r="419" customFormat="false" ht="15" hidden="false" customHeight="true" outlineLevel="0" collapsed="false">
      <c r="U419" s="212"/>
      <c r="V419" s="212"/>
      <c r="W419" s="212"/>
      <c r="X419" s="212"/>
      <c r="Y419" s="225"/>
      <c r="Z419" s="225"/>
      <c r="AA419" s="226" t="n">
        <v>507</v>
      </c>
      <c r="AB419" s="227" t="s">
        <v>750</v>
      </c>
      <c r="AC419" s="241" t="n">
        <v>178</v>
      </c>
      <c r="AD419" s="243" t="s">
        <v>751</v>
      </c>
      <c r="AE419" s="229"/>
      <c r="AF419" s="229"/>
      <c r="AG419" s="229"/>
      <c r="AH419" s="238"/>
      <c r="AI419" s="240"/>
      <c r="AJ419" s="229"/>
      <c r="AK419" s="231"/>
      <c r="AL419" s="299"/>
      <c r="AM419" s="299"/>
      <c r="AN419" s="295"/>
      <c r="AO419" s="296"/>
      <c r="AP419" s="229"/>
      <c r="AQ419" s="300"/>
      <c r="AR419" s="278"/>
      <c r="AS419" s="277"/>
      <c r="AT419" s="229"/>
      <c r="AU419" s="229"/>
      <c r="AV419" s="229"/>
      <c r="AW419" s="5"/>
      <c r="AX419" s="5"/>
      <c r="AY419" s="5"/>
      <c r="AZ419" s="5"/>
      <c r="BA419" s="5"/>
      <c r="BB419" s="5"/>
      <c r="BC419" s="5"/>
      <c r="BD419" s="5"/>
      <c r="BE419" s="5"/>
      <c r="BF419" s="5"/>
      <c r="BG419" s="5"/>
    </row>
    <row r="420" customFormat="false" ht="15" hidden="false" customHeight="true" outlineLevel="0" collapsed="false">
      <c r="U420" s="212"/>
      <c r="V420" s="212"/>
      <c r="W420" s="212"/>
      <c r="X420" s="212"/>
      <c r="Y420" s="225"/>
      <c r="Z420" s="225"/>
      <c r="AA420" s="226" t="n">
        <v>508</v>
      </c>
      <c r="AB420" s="227" t="s">
        <v>752</v>
      </c>
      <c r="AC420" s="241" t="n">
        <v>179</v>
      </c>
      <c r="AD420" s="243" t="s">
        <v>753</v>
      </c>
      <c r="AE420" s="229"/>
      <c r="AF420" s="229"/>
      <c r="AG420" s="229"/>
      <c r="AH420" s="238"/>
      <c r="AI420" s="240"/>
      <c r="AJ420" s="229"/>
      <c r="AK420" s="231"/>
      <c r="AL420" s="299"/>
      <c r="AM420" s="299"/>
      <c r="AN420" s="295"/>
      <c r="AO420" s="296"/>
      <c r="AP420" s="229"/>
      <c r="AQ420" s="300"/>
      <c r="AR420" s="278"/>
      <c r="AS420" s="277"/>
      <c r="AT420" s="229"/>
      <c r="AU420" s="229"/>
      <c r="AV420" s="229"/>
      <c r="AW420" s="5"/>
      <c r="AX420" s="5"/>
      <c r="AY420" s="5"/>
      <c r="AZ420" s="5"/>
      <c r="BA420" s="5"/>
      <c r="BB420" s="5"/>
      <c r="BC420" s="5"/>
      <c r="BD420" s="5"/>
      <c r="BE420" s="5"/>
      <c r="BF420" s="5"/>
      <c r="BG420" s="5"/>
    </row>
    <row r="421" customFormat="false" ht="15" hidden="false" customHeight="true" outlineLevel="0" collapsed="false">
      <c r="U421" s="212"/>
      <c r="V421" s="212"/>
      <c r="W421" s="212"/>
      <c r="X421" s="212"/>
      <c r="Y421" s="225"/>
      <c r="Z421" s="225"/>
      <c r="AA421" s="226" t="n">
        <v>509</v>
      </c>
      <c r="AB421" s="227" t="s">
        <v>754</v>
      </c>
      <c r="AC421" s="241" t="n">
        <v>180</v>
      </c>
      <c r="AD421" s="243" t="s">
        <v>755</v>
      </c>
      <c r="AE421" s="229"/>
      <c r="AF421" s="229"/>
      <c r="AG421" s="229"/>
      <c r="AH421" s="238"/>
      <c r="AI421" s="240"/>
      <c r="AJ421" s="229"/>
      <c r="AK421" s="231"/>
      <c r="AL421" s="299"/>
      <c r="AM421" s="299"/>
      <c r="AN421" s="295"/>
      <c r="AO421" s="296"/>
      <c r="AP421" s="229"/>
      <c r="AQ421" s="300"/>
      <c r="AR421" s="278"/>
      <c r="AS421" s="277"/>
      <c r="AT421" s="229"/>
      <c r="AU421" s="229"/>
      <c r="AV421" s="229"/>
      <c r="AW421" s="5"/>
      <c r="AX421" s="5"/>
      <c r="AY421" s="5"/>
      <c r="AZ421" s="5"/>
      <c r="BA421" s="5"/>
      <c r="BB421" s="5"/>
      <c r="BC421" s="5"/>
      <c r="BD421" s="5"/>
      <c r="BE421" s="5"/>
      <c r="BF421" s="5"/>
      <c r="BG421" s="5"/>
    </row>
    <row r="422" customFormat="false" ht="15" hidden="false" customHeight="true" outlineLevel="0" collapsed="false">
      <c r="U422" s="212"/>
      <c r="V422" s="212"/>
      <c r="W422" s="212"/>
      <c r="X422" s="212"/>
      <c r="Y422" s="225"/>
      <c r="Z422" s="225"/>
      <c r="AA422" s="226" t="n">
        <v>510</v>
      </c>
      <c r="AB422" s="227" t="s">
        <v>756</v>
      </c>
      <c r="AC422" s="241" t="n">
        <v>181</v>
      </c>
      <c r="AD422" s="243" t="s">
        <v>757</v>
      </c>
      <c r="AE422" s="229"/>
      <c r="AF422" s="229"/>
      <c r="AG422" s="229"/>
      <c r="AH422" s="238"/>
      <c r="AI422" s="240"/>
      <c r="AJ422" s="229"/>
      <c r="AK422" s="231"/>
      <c r="AL422" s="299"/>
      <c r="AM422" s="299"/>
      <c r="AN422" s="295"/>
      <c r="AO422" s="296"/>
      <c r="AP422" s="229"/>
      <c r="AQ422" s="300"/>
      <c r="AR422" s="278"/>
      <c r="AS422" s="277"/>
      <c r="AT422" s="229"/>
      <c r="AU422" s="229"/>
      <c r="AV422" s="229"/>
      <c r="AW422" s="5"/>
      <c r="AX422" s="5"/>
      <c r="AY422" s="5"/>
      <c r="AZ422" s="5"/>
      <c r="BA422" s="5"/>
      <c r="BB422" s="5"/>
      <c r="BC422" s="5"/>
      <c r="BD422" s="5"/>
      <c r="BE422" s="5"/>
      <c r="BF422" s="5"/>
      <c r="BG422" s="5"/>
    </row>
    <row r="423" customFormat="false" ht="15" hidden="false" customHeight="true" outlineLevel="0" collapsed="false">
      <c r="U423" s="212"/>
      <c r="V423" s="212"/>
      <c r="W423" s="212"/>
      <c r="X423" s="212"/>
      <c r="Y423" s="225"/>
      <c r="Z423" s="225"/>
      <c r="AA423" s="226" t="n">
        <v>511</v>
      </c>
      <c r="AB423" s="227" t="s">
        <v>758</v>
      </c>
      <c r="AC423" s="241" t="n">
        <v>182</v>
      </c>
      <c r="AD423" s="243" t="s">
        <v>759</v>
      </c>
      <c r="AE423" s="229"/>
      <c r="AF423" s="229"/>
      <c r="AG423" s="229"/>
      <c r="AH423" s="238"/>
      <c r="AI423" s="240"/>
      <c r="AJ423" s="229"/>
      <c r="AK423" s="231"/>
      <c r="AL423" s="299"/>
      <c r="AM423" s="299"/>
      <c r="AN423" s="295"/>
      <c r="AO423" s="296"/>
      <c r="AP423" s="229"/>
      <c r="AQ423" s="300"/>
      <c r="AR423" s="278"/>
      <c r="AS423" s="277"/>
      <c r="AT423" s="229"/>
      <c r="AU423" s="229"/>
      <c r="AV423" s="229"/>
      <c r="AW423" s="5"/>
      <c r="AX423" s="5"/>
      <c r="AY423" s="5"/>
      <c r="AZ423" s="5"/>
      <c r="BA423" s="5"/>
      <c r="BB423" s="5"/>
      <c r="BC423" s="5"/>
      <c r="BD423" s="5"/>
      <c r="BE423" s="5"/>
      <c r="BF423" s="5"/>
      <c r="BG423" s="5"/>
    </row>
    <row r="424" customFormat="false" ht="15" hidden="false" customHeight="true" outlineLevel="0" collapsed="false">
      <c r="U424" s="212"/>
      <c r="V424" s="212"/>
      <c r="W424" s="212"/>
      <c r="X424" s="212"/>
      <c r="Y424" s="225"/>
      <c r="Z424" s="225"/>
      <c r="AA424" s="226" t="n">
        <v>512</v>
      </c>
      <c r="AB424" s="227" t="s">
        <v>760</v>
      </c>
      <c r="AC424" s="241" t="n">
        <v>183</v>
      </c>
      <c r="AD424" s="243" t="s">
        <v>761</v>
      </c>
      <c r="AE424" s="229"/>
      <c r="AF424" s="229"/>
      <c r="AG424" s="229"/>
      <c r="AH424" s="238"/>
      <c r="AI424" s="240"/>
      <c r="AJ424" s="229"/>
      <c r="AK424" s="231"/>
      <c r="AL424" s="299"/>
      <c r="AM424" s="299"/>
      <c r="AN424" s="295"/>
      <c r="AO424" s="296"/>
      <c r="AP424" s="229"/>
      <c r="AQ424" s="300"/>
      <c r="AR424" s="278"/>
      <c r="AS424" s="277"/>
      <c r="AT424" s="229"/>
      <c r="AU424" s="229"/>
      <c r="AV424" s="229"/>
      <c r="AW424" s="5"/>
      <c r="AX424" s="5"/>
      <c r="AY424" s="5"/>
      <c r="AZ424" s="5"/>
      <c r="BA424" s="5"/>
      <c r="BB424" s="5"/>
      <c r="BC424" s="5"/>
      <c r="BD424" s="5"/>
      <c r="BE424" s="5"/>
      <c r="BF424" s="5"/>
      <c r="BG424" s="5"/>
    </row>
    <row r="425" customFormat="false" ht="1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212"/>
      <c r="V425" s="212"/>
      <c r="W425" s="212"/>
      <c r="X425" s="212"/>
      <c r="Y425" s="225"/>
      <c r="Z425" s="225"/>
      <c r="AA425" s="226" t="n">
        <v>513</v>
      </c>
      <c r="AB425" s="227" t="s">
        <v>762</v>
      </c>
      <c r="AC425" s="241" t="n">
        <v>184</v>
      </c>
      <c r="AD425" s="243" t="s">
        <v>763</v>
      </c>
      <c r="AE425" s="229"/>
      <c r="AF425" s="229"/>
      <c r="AG425" s="229"/>
      <c r="AH425" s="238"/>
      <c r="AI425" s="240"/>
      <c r="AJ425" s="229"/>
      <c r="AK425" s="231"/>
      <c r="AL425" s="299"/>
      <c r="AM425" s="299"/>
      <c r="AN425" s="295"/>
      <c r="AO425" s="296"/>
      <c r="AP425" s="229"/>
      <c r="AQ425" s="300"/>
      <c r="AR425" s="278"/>
      <c r="AS425" s="277"/>
      <c r="AT425" s="229"/>
      <c r="AU425" s="229"/>
      <c r="AV425" s="229"/>
      <c r="AW425" s="5"/>
      <c r="AX425" s="5"/>
      <c r="AY425" s="5"/>
      <c r="AZ425" s="5"/>
      <c r="BA425" s="5"/>
      <c r="BB425" s="5"/>
      <c r="BC425" s="5"/>
      <c r="BD425" s="5"/>
      <c r="BE425" s="5"/>
      <c r="BF425" s="5"/>
      <c r="BG425" s="5"/>
    </row>
    <row r="426" customFormat="false" ht="1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212"/>
      <c r="V426" s="212"/>
      <c r="W426" s="212"/>
      <c r="X426" s="212"/>
      <c r="Y426" s="225"/>
      <c r="Z426" s="225"/>
      <c r="AA426" s="226" t="n">
        <v>514</v>
      </c>
      <c r="AB426" s="227" t="s">
        <v>764</v>
      </c>
      <c r="AC426" s="241" t="n">
        <v>185</v>
      </c>
      <c r="AD426" s="243" t="s">
        <v>765</v>
      </c>
      <c r="AE426" s="229"/>
      <c r="AF426" s="229"/>
      <c r="AG426" s="229"/>
      <c r="AH426" s="238"/>
      <c r="AI426" s="240"/>
      <c r="AJ426" s="229"/>
      <c r="AK426" s="231"/>
      <c r="AL426" s="299"/>
      <c r="AM426" s="299"/>
      <c r="AN426" s="295"/>
      <c r="AO426" s="296"/>
      <c r="AP426" s="229"/>
      <c r="AQ426" s="300"/>
      <c r="AR426" s="278"/>
      <c r="AS426" s="277"/>
      <c r="AT426" s="229"/>
      <c r="AU426" s="229"/>
      <c r="AV426" s="229"/>
      <c r="AW426" s="5"/>
      <c r="AX426" s="5"/>
      <c r="AY426" s="5"/>
      <c r="AZ426" s="5"/>
      <c r="BA426" s="5"/>
      <c r="BB426" s="5"/>
      <c r="BC426" s="5"/>
      <c r="BD426" s="5"/>
      <c r="BE426" s="5"/>
      <c r="BF426" s="5"/>
      <c r="BG426" s="5"/>
    </row>
    <row r="427" customFormat="false" ht="1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212"/>
      <c r="V427" s="212"/>
      <c r="W427" s="212"/>
      <c r="X427" s="212"/>
      <c r="Y427" s="212"/>
      <c r="Z427" s="212"/>
      <c r="AA427" s="212"/>
      <c r="AB427" s="212"/>
      <c r="AC427" s="241" t="n">
        <v>186</v>
      </c>
      <c r="AD427" s="243" t="s">
        <v>766</v>
      </c>
      <c r="AE427" s="229"/>
      <c r="AF427" s="229"/>
      <c r="AG427" s="229"/>
      <c r="AH427" s="238"/>
      <c r="AI427" s="240"/>
      <c r="AJ427" s="229"/>
      <c r="AK427" s="231"/>
      <c r="AL427" s="299"/>
      <c r="AM427" s="299"/>
      <c r="AN427" s="295"/>
      <c r="AO427" s="296"/>
      <c r="AP427" s="229"/>
      <c r="AQ427" s="300"/>
      <c r="AR427" s="278"/>
      <c r="AS427" s="277"/>
      <c r="AT427" s="229"/>
      <c r="AU427" s="229"/>
      <c r="AV427" s="229"/>
      <c r="AW427" s="5"/>
      <c r="AX427" s="5"/>
      <c r="AY427" s="5"/>
      <c r="AZ427" s="5"/>
      <c r="BA427" s="5"/>
      <c r="BB427" s="5"/>
      <c r="BC427" s="5"/>
      <c r="BD427" s="5"/>
      <c r="BE427" s="5"/>
      <c r="BF427" s="5"/>
      <c r="BG427" s="5"/>
    </row>
    <row r="428" customFormat="false" ht="1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212"/>
      <c r="V428" s="212"/>
      <c r="W428" s="212"/>
      <c r="X428" s="212"/>
      <c r="Y428" s="212"/>
      <c r="Z428" s="212"/>
      <c r="AA428" s="241" t="s">
        <v>113</v>
      </c>
      <c r="AB428" s="241" t="s">
        <v>82</v>
      </c>
      <c r="AC428" s="241" t="n">
        <v>187</v>
      </c>
      <c r="AD428" s="243" t="s">
        <v>767</v>
      </c>
      <c r="AE428" s="229"/>
      <c r="AF428" s="229"/>
      <c r="AG428" s="229"/>
      <c r="AH428" s="238"/>
      <c r="AI428" s="240"/>
      <c r="AJ428" s="229"/>
      <c r="AK428" s="231"/>
      <c r="AL428" s="299"/>
      <c r="AM428" s="299"/>
      <c r="AN428" s="295"/>
      <c r="AO428" s="296"/>
      <c r="AP428" s="229"/>
      <c r="AQ428" s="300"/>
      <c r="AR428" s="278"/>
      <c r="AS428" s="277"/>
      <c r="AT428" s="229"/>
      <c r="AU428" s="229"/>
      <c r="AV428" s="229"/>
      <c r="AW428" s="5"/>
      <c r="AX428" s="5"/>
      <c r="AY428" s="5"/>
      <c r="AZ428" s="5"/>
      <c r="BA428" s="5"/>
      <c r="BB428" s="5"/>
      <c r="BC428" s="5"/>
      <c r="BD428" s="5"/>
      <c r="BE428" s="5"/>
      <c r="BF428" s="5"/>
      <c r="BG428" s="5"/>
    </row>
    <row r="429" customFormat="false" ht="1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212"/>
      <c r="V429" s="212"/>
      <c r="W429" s="212"/>
      <c r="X429" s="212"/>
      <c r="Y429" s="212"/>
      <c r="Z429" s="212"/>
      <c r="AA429" s="391" t="n">
        <v>11</v>
      </c>
      <c r="AB429" s="228" t="s">
        <v>768</v>
      </c>
      <c r="AC429" s="241" t="n">
        <v>188</v>
      </c>
      <c r="AD429" s="243" t="s">
        <v>769</v>
      </c>
      <c r="AE429" s="229"/>
      <c r="AF429" s="229"/>
      <c r="AG429" s="229"/>
      <c r="AH429" s="238"/>
      <c r="AI429" s="240"/>
      <c r="AJ429" s="229"/>
      <c r="AK429" s="231"/>
      <c r="AL429" s="299"/>
      <c r="AM429" s="299"/>
      <c r="AN429" s="295"/>
      <c r="AO429" s="296"/>
      <c r="AP429" s="229"/>
      <c r="AQ429" s="300"/>
      <c r="AR429" s="278"/>
      <c r="AS429" s="277"/>
      <c r="AT429" s="229"/>
      <c r="AU429" s="229"/>
      <c r="AV429" s="229"/>
      <c r="AW429" s="5"/>
      <c r="AX429" s="5"/>
      <c r="AY429" s="5"/>
      <c r="AZ429" s="5"/>
      <c r="BA429" s="5"/>
      <c r="BB429" s="5"/>
      <c r="BC429" s="5"/>
      <c r="BD429" s="5"/>
      <c r="BE429" s="5"/>
      <c r="BF429" s="5"/>
      <c r="BG429" s="5"/>
    </row>
    <row r="430" customFormat="false" ht="1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212"/>
      <c r="V430" s="212"/>
      <c r="W430" s="212"/>
      <c r="X430" s="212"/>
      <c r="Y430" s="212"/>
      <c r="Z430" s="212"/>
      <c r="AA430" s="391" t="n">
        <v>10</v>
      </c>
      <c r="AB430" s="228" t="s">
        <v>142</v>
      </c>
      <c r="AC430" s="241" t="n">
        <v>189</v>
      </c>
      <c r="AD430" s="243" t="s">
        <v>770</v>
      </c>
      <c r="AE430" s="229"/>
      <c r="AF430" s="229"/>
      <c r="AG430" s="229"/>
      <c r="AH430" s="238"/>
      <c r="AI430" s="240"/>
      <c r="AJ430" s="229"/>
      <c r="AK430" s="231"/>
      <c r="AL430" s="299"/>
      <c r="AM430" s="299"/>
      <c r="AN430" s="295"/>
      <c r="AO430" s="296"/>
      <c r="AP430" s="229"/>
      <c r="AQ430" s="300"/>
      <c r="AR430" s="278"/>
      <c r="AS430" s="277"/>
      <c r="AT430" s="229"/>
      <c r="AU430" s="229"/>
      <c r="AV430" s="229"/>
      <c r="AW430" s="5"/>
      <c r="AX430" s="5"/>
      <c r="AY430" s="5"/>
      <c r="AZ430" s="5"/>
      <c r="BA430" s="5"/>
      <c r="BB430" s="5"/>
      <c r="BC430" s="5"/>
      <c r="BD430" s="5"/>
      <c r="BE430" s="5"/>
      <c r="BF430" s="5"/>
      <c r="BG430" s="5"/>
    </row>
    <row r="431" customFormat="false" ht="1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212"/>
      <c r="V431" s="212"/>
      <c r="W431" s="212"/>
      <c r="X431" s="212"/>
      <c r="Y431" s="212"/>
      <c r="Z431" s="212"/>
      <c r="AA431" s="391" t="n">
        <v>9</v>
      </c>
      <c r="AB431" s="228" t="s">
        <v>148</v>
      </c>
      <c r="AC431" s="241" t="n">
        <v>190</v>
      </c>
      <c r="AD431" s="243" t="s">
        <v>771</v>
      </c>
      <c r="AE431" s="229"/>
      <c r="AF431" s="229"/>
      <c r="AG431" s="229"/>
      <c r="AH431" s="238"/>
      <c r="AI431" s="240"/>
      <c r="AJ431" s="229"/>
      <c r="AK431" s="231"/>
      <c r="AL431" s="299"/>
      <c r="AM431" s="299"/>
      <c r="AN431" s="295"/>
      <c r="AO431" s="296"/>
      <c r="AP431" s="229"/>
      <c r="AQ431" s="300"/>
      <c r="AR431" s="278"/>
      <c r="AS431" s="277"/>
      <c r="AT431" s="229"/>
      <c r="AU431" s="229"/>
      <c r="AV431" s="229"/>
      <c r="AW431" s="5"/>
      <c r="AX431" s="5"/>
      <c r="AY431" s="5"/>
      <c r="AZ431" s="5"/>
      <c r="BA431" s="5"/>
      <c r="BB431" s="5"/>
      <c r="BC431" s="5"/>
      <c r="BD431" s="5"/>
      <c r="BE431" s="5"/>
      <c r="BF431" s="5"/>
      <c r="BG431" s="5"/>
    </row>
    <row r="432" customFormat="false" ht="1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212"/>
      <c r="V432" s="212"/>
      <c r="W432" s="212"/>
      <c r="X432" s="212"/>
      <c r="Y432" s="212"/>
      <c r="Z432" s="212"/>
      <c r="AA432" s="391" t="n">
        <v>8</v>
      </c>
      <c r="AB432" s="228" t="s">
        <v>153</v>
      </c>
      <c r="AC432" s="241" t="n">
        <v>191</v>
      </c>
      <c r="AD432" s="243" t="s">
        <v>772</v>
      </c>
      <c r="AE432" s="229"/>
      <c r="AF432" s="229"/>
      <c r="AG432" s="229"/>
      <c r="AH432" s="238"/>
      <c r="AI432" s="240"/>
      <c r="AJ432" s="229"/>
      <c r="AK432" s="231"/>
      <c r="AL432" s="299"/>
      <c r="AM432" s="299"/>
      <c r="AN432" s="295"/>
      <c r="AO432" s="296"/>
      <c r="AP432" s="229"/>
      <c r="AQ432" s="300"/>
      <c r="AR432" s="278"/>
      <c r="AS432" s="277"/>
      <c r="AT432" s="229"/>
      <c r="AU432" s="229"/>
      <c r="AV432" s="229"/>
      <c r="AW432" s="5"/>
      <c r="AX432" s="5"/>
      <c r="AY432" s="5"/>
      <c r="AZ432" s="5"/>
      <c r="BA432" s="5"/>
      <c r="BB432" s="5"/>
      <c r="BC432" s="5"/>
      <c r="BD432" s="5"/>
      <c r="BE432" s="5"/>
      <c r="BF432" s="5"/>
      <c r="BG432" s="5"/>
    </row>
    <row r="433" customFormat="false" ht="1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212"/>
      <c r="V433" s="212"/>
      <c r="W433" s="212"/>
      <c r="X433" s="212"/>
      <c r="Y433" s="212"/>
      <c r="Z433" s="212"/>
      <c r="AA433" s="391" t="n">
        <v>7</v>
      </c>
      <c r="AB433" s="228" t="s">
        <v>159</v>
      </c>
      <c r="AC433" s="241" t="n">
        <v>192</v>
      </c>
      <c r="AD433" s="243" t="s">
        <v>773</v>
      </c>
      <c r="AE433" s="229"/>
      <c r="AF433" s="229"/>
      <c r="AG433" s="229"/>
      <c r="AH433" s="238"/>
      <c r="AI433" s="240"/>
      <c r="AJ433" s="229"/>
      <c r="AK433" s="231"/>
      <c r="AL433" s="299"/>
      <c r="AM433" s="299"/>
      <c r="AN433" s="295"/>
      <c r="AO433" s="296"/>
      <c r="AP433" s="229"/>
      <c r="AQ433" s="300"/>
      <c r="AR433" s="278"/>
      <c r="AS433" s="277"/>
      <c r="AT433" s="229"/>
      <c r="AU433" s="229"/>
      <c r="AV433" s="229"/>
      <c r="AW433" s="5"/>
      <c r="AX433" s="5"/>
      <c r="AY433" s="5"/>
      <c r="AZ433" s="5"/>
      <c r="BA433" s="5"/>
      <c r="BB433" s="5"/>
      <c r="BC433" s="5"/>
      <c r="BD433" s="5"/>
      <c r="BE433" s="5"/>
      <c r="BF433" s="5"/>
      <c r="BG433" s="5"/>
    </row>
    <row r="434" customFormat="false" ht="1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212"/>
      <c r="V434" s="212"/>
      <c r="W434" s="212"/>
      <c r="X434" s="212"/>
      <c r="Y434" s="212"/>
      <c r="Z434" s="212"/>
      <c r="AA434" s="391" t="n">
        <v>6</v>
      </c>
      <c r="AB434" s="228" t="s">
        <v>164</v>
      </c>
      <c r="AC434" s="241" t="n">
        <v>193</v>
      </c>
      <c r="AD434" s="243" t="s">
        <v>774</v>
      </c>
      <c r="AE434" s="229"/>
      <c r="AF434" s="229"/>
      <c r="AG434" s="229"/>
      <c r="AH434" s="238"/>
      <c r="AI434" s="240"/>
      <c r="AJ434" s="229"/>
      <c r="AK434" s="231"/>
      <c r="AL434" s="299"/>
      <c r="AM434" s="299"/>
      <c r="AN434" s="295"/>
      <c r="AO434" s="296"/>
      <c r="AP434" s="229"/>
      <c r="AQ434" s="300"/>
      <c r="AR434" s="278"/>
      <c r="AS434" s="277"/>
      <c r="AT434" s="229"/>
      <c r="AU434" s="229"/>
      <c r="AV434" s="229"/>
      <c r="AW434" s="5"/>
      <c r="AX434" s="5"/>
      <c r="AY434" s="5"/>
      <c r="AZ434" s="5"/>
      <c r="BA434" s="5"/>
      <c r="BB434" s="5"/>
      <c r="BC434" s="5"/>
      <c r="BD434" s="5"/>
      <c r="BE434" s="5"/>
      <c r="BF434" s="5"/>
      <c r="BG434" s="5"/>
    </row>
    <row r="435" customFormat="false" ht="1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212"/>
      <c r="V435" s="212"/>
      <c r="W435" s="212"/>
      <c r="X435" s="212"/>
      <c r="Y435" s="212"/>
      <c r="Z435" s="212"/>
      <c r="AA435" s="391" t="n">
        <v>5</v>
      </c>
      <c r="AB435" s="228" t="s">
        <v>170</v>
      </c>
      <c r="AC435" s="241" t="n">
        <v>194</v>
      </c>
      <c r="AD435" s="243" t="s">
        <v>775</v>
      </c>
      <c r="AE435" s="229"/>
      <c r="AF435" s="229"/>
      <c r="AG435" s="229"/>
      <c r="AH435" s="238"/>
      <c r="AI435" s="240"/>
      <c r="AJ435" s="229"/>
      <c r="AK435" s="231"/>
      <c r="AL435" s="299"/>
      <c r="AM435" s="299"/>
      <c r="AN435" s="295"/>
      <c r="AO435" s="296"/>
      <c r="AP435" s="229"/>
      <c r="AQ435" s="300"/>
      <c r="AR435" s="278"/>
      <c r="AS435" s="277"/>
      <c r="AT435" s="229"/>
      <c r="AU435" s="229"/>
      <c r="AV435" s="229"/>
      <c r="AW435" s="5"/>
      <c r="AX435" s="5"/>
      <c r="AY435" s="5"/>
      <c r="AZ435" s="5"/>
      <c r="BA435" s="5"/>
      <c r="BB435" s="5"/>
      <c r="BC435" s="5"/>
      <c r="BD435" s="5"/>
      <c r="BE435" s="5"/>
      <c r="BF435" s="5"/>
      <c r="BG435" s="5"/>
    </row>
    <row r="436" customFormat="false" ht="1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212"/>
      <c r="V436" s="212"/>
      <c r="W436" s="212"/>
      <c r="X436" s="212"/>
      <c r="Y436" s="212"/>
      <c r="Z436" s="212"/>
      <c r="AA436" s="391" t="n">
        <v>4</v>
      </c>
      <c r="AB436" s="228" t="s">
        <v>175</v>
      </c>
      <c r="AC436" s="241" t="n">
        <v>195</v>
      </c>
      <c r="AD436" s="243" t="s">
        <v>776</v>
      </c>
      <c r="AE436" s="229"/>
      <c r="AF436" s="229"/>
      <c r="AG436" s="229"/>
      <c r="AH436" s="238"/>
      <c r="AI436" s="240"/>
      <c r="AJ436" s="229"/>
      <c r="AK436" s="231"/>
      <c r="AL436" s="299"/>
      <c r="AM436" s="299"/>
      <c r="AN436" s="295"/>
      <c r="AO436" s="296"/>
      <c r="AP436" s="229"/>
      <c r="AQ436" s="300"/>
      <c r="AR436" s="278"/>
      <c r="AS436" s="277"/>
      <c r="AT436" s="229"/>
      <c r="AU436" s="229"/>
      <c r="AV436" s="229"/>
      <c r="AW436" s="5"/>
      <c r="AX436" s="5"/>
      <c r="AY436" s="5"/>
      <c r="AZ436" s="5"/>
      <c r="BA436" s="5"/>
      <c r="BB436" s="5"/>
      <c r="BC436" s="5"/>
      <c r="BD436" s="5"/>
      <c r="BE436" s="5"/>
      <c r="BF436" s="5"/>
      <c r="BG436" s="5"/>
    </row>
    <row r="437" customFormat="false" ht="1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212"/>
      <c r="V437" s="212"/>
      <c r="W437" s="212"/>
      <c r="X437" s="212"/>
      <c r="Y437" s="212"/>
      <c r="Z437" s="212"/>
      <c r="AA437" s="391" t="n">
        <v>3</v>
      </c>
      <c r="AB437" s="228" t="s">
        <v>179</v>
      </c>
      <c r="AC437" s="241" t="n">
        <v>196</v>
      </c>
      <c r="AD437" s="243" t="s">
        <v>777</v>
      </c>
      <c r="AE437" s="229"/>
      <c r="AF437" s="229"/>
      <c r="AG437" s="229"/>
      <c r="AH437" s="238"/>
      <c r="AI437" s="240"/>
      <c r="AJ437" s="229"/>
      <c r="AK437" s="231"/>
      <c r="AL437" s="299"/>
      <c r="AM437" s="299"/>
      <c r="AN437" s="295"/>
      <c r="AO437" s="296"/>
      <c r="AP437" s="229"/>
      <c r="AQ437" s="300"/>
      <c r="AR437" s="278"/>
      <c r="AS437" s="277"/>
      <c r="AT437" s="229"/>
      <c r="AU437" s="229"/>
      <c r="AV437" s="229"/>
      <c r="AW437" s="5"/>
      <c r="AX437" s="5"/>
      <c r="AY437" s="5"/>
      <c r="AZ437" s="5"/>
      <c r="BA437" s="5"/>
      <c r="BB437" s="5"/>
      <c r="BC437" s="5"/>
      <c r="BD437" s="5"/>
      <c r="BE437" s="5"/>
      <c r="BF437" s="5"/>
      <c r="BG437" s="5"/>
    </row>
    <row r="438" customFormat="false" ht="1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212"/>
      <c r="V438" s="212"/>
      <c r="W438" s="212"/>
      <c r="X438" s="212"/>
      <c r="Y438" s="212"/>
      <c r="Z438" s="212"/>
      <c r="AA438" s="391" t="n">
        <v>2</v>
      </c>
      <c r="AB438" s="228" t="s">
        <v>184</v>
      </c>
      <c r="AC438" s="241" t="n">
        <v>197</v>
      </c>
      <c r="AD438" s="243" t="s">
        <v>778</v>
      </c>
      <c r="AE438" s="229"/>
      <c r="AF438" s="229"/>
      <c r="AG438" s="229"/>
      <c r="AH438" s="238"/>
      <c r="AI438" s="240"/>
      <c r="AJ438" s="229"/>
      <c r="AK438" s="231"/>
      <c r="AL438" s="299"/>
      <c r="AM438" s="299"/>
      <c r="AN438" s="295"/>
      <c r="AO438" s="296"/>
      <c r="AP438" s="229"/>
      <c r="AQ438" s="300"/>
      <c r="AR438" s="278"/>
      <c r="AS438" s="277"/>
      <c r="AT438" s="229"/>
      <c r="AU438" s="229"/>
      <c r="AV438" s="229"/>
      <c r="AW438" s="5"/>
      <c r="AX438" s="5"/>
      <c r="AY438" s="5"/>
      <c r="AZ438" s="5"/>
      <c r="BA438" s="5"/>
      <c r="BB438" s="5"/>
      <c r="BC438" s="5"/>
      <c r="BD438" s="5"/>
      <c r="BE438" s="5"/>
      <c r="BF438" s="5"/>
      <c r="BG438" s="5"/>
    </row>
    <row r="439" customFormat="false" ht="1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212"/>
      <c r="V439" s="212"/>
      <c r="W439" s="212"/>
      <c r="X439" s="212"/>
      <c r="Y439" s="212"/>
      <c r="Z439" s="212"/>
      <c r="AA439" s="391" t="n">
        <v>1</v>
      </c>
      <c r="AB439" s="228" t="s">
        <v>189</v>
      </c>
      <c r="AC439" s="241" t="n">
        <v>198</v>
      </c>
      <c r="AD439" s="243" t="s">
        <v>779</v>
      </c>
      <c r="AE439" s="229"/>
      <c r="AF439" s="229"/>
      <c r="AG439" s="229"/>
      <c r="AH439" s="238"/>
      <c r="AI439" s="240"/>
      <c r="AJ439" s="229"/>
      <c r="AK439" s="231"/>
      <c r="AL439" s="299"/>
      <c r="AM439" s="299"/>
      <c r="AN439" s="295"/>
      <c r="AO439" s="296"/>
      <c r="AP439" s="229"/>
      <c r="AQ439" s="300"/>
      <c r="AR439" s="278"/>
      <c r="AS439" s="277"/>
      <c r="AT439" s="229"/>
      <c r="AU439" s="229"/>
      <c r="AV439" s="229"/>
      <c r="AW439" s="5"/>
      <c r="AX439" s="5"/>
      <c r="AY439" s="5"/>
      <c r="AZ439" s="5"/>
      <c r="BA439" s="5"/>
      <c r="BB439" s="5"/>
      <c r="BC439" s="5"/>
      <c r="BD439" s="5"/>
      <c r="BE439" s="5"/>
      <c r="BF439" s="5"/>
      <c r="BG439" s="5"/>
    </row>
    <row r="440" customFormat="false" ht="1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212"/>
      <c r="V440" s="212"/>
      <c r="W440" s="212"/>
      <c r="X440" s="212"/>
      <c r="Y440" s="212"/>
      <c r="Z440" s="212"/>
      <c r="AA440" s="212"/>
      <c r="AB440" s="212"/>
      <c r="AC440" s="241" t="n">
        <v>199</v>
      </c>
      <c r="AD440" s="243" t="s">
        <v>780</v>
      </c>
      <c r="AE440" s="229"/>
      <c r="AF440" s="229"/>
      <c r="AG440" s="229"/>
      <c r="AH440" s="238"/>
      <c r="AI440" s="240"/>
      <c r="AJ440" s="229"/>
      <c r="AK440" s="231"/>
      <c r="AL440" s="299"/>
      <c r="AM440" s="299"/>
      <c r="AN440" s="295"/>
      <c r="AO440" s="296"/>
      <c r="AP440" s="229"/>
      <c r="AQ440" s="300"/>
      <c r="AR440" s="278"/>
      <c r="AS440" s="277"/>
      <c r="AT440" s="229"/>
      <c r="AU440" s="229"/>
      <c r="AV440" s="229"/>
      <c r="AW440" s="5"/>
      <c r="AX440" s="5"/>
      <c r="AY440" s="5"/>
      <c r="AZ440" s="5"/>
      <c r="BA440" s="5"/>
      <c r="BB440" s="5"/>
      <c r="BC440" s="5"/>
      <c r="BD440" s="5"/>
      <c r="BE440" s="5"/>
      <c r="BF440" s="5"/>
      <c r="BG440" s="5"/>
    </row>
    <row r="441" customFormat="false" ht="1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212"/>
      <c r="V441" s="212"/>
      <c r="W441" s="212"/>
      <c r="X441" s="212"/>
      <c r="Y441" s="212"/>
      <c r="Z441" s="212"/>
      <c r="AA441" s="212"/>
      <c r="AB441" s="212"/>
      <c r="AC441" s="241" t="n">
        <v>200</v>
      </c>
      <c r="AD441" s="243" t="s">
        <v>781</v>
      </c>
      <c r="AE441" s="229"/>
      <c r="AF441" s="229"/>
      <c r="AG441" s="229"/>
      <c r="AH441" s="238"/>
      <c r="AI441" s="240"/>
      <c r="AJ441" s="229"/>
      <c r="AK441" s="231"/>
      <c r="AL441" s="299"/>
      <c r="AM441" s="299"/>
      <c r="AN441" s="295"/>
      <c r="AO441" s="296"/>
      <c r="AP441" s="229"/>
      <c r="AQ441" s="300"/>
      <c r="AR441" s="278"/>
      <c r="AS441" s="277"/>
      <c r="AT441" s="229"/>
      <c r="AU441" s="229"/>
      <c r="AV441" s="229"/>
      <c r="AW441" s="5"/>
      <c r="AX441" s="5"/>
      <c r="AY441" s="5"/>
      <c r="AZ441" s="5"/>
      <c r="BA441" s="5"/>
      <c r="BB441" s="5"/>
      <c r="BC441" s="5"/>
      <c r="BD441" s="5"/>
      <c r="BE441" s="5"/>
      <c r="BF441" s="5"/>
      <c r="BG441" s="5"/>
    </row>
    <row r="442" customFormat="false" ht="1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212"/>
      <c r="V442" s="212"/>
      <c r="W442" s="212"/>
      <c r="X442" s="212"/>
      <c r="Y442" s="212"/>
      <c r="Z442" s="212"/>
      <c r="AA442" s="212"/>
      <c r="AB442" s="212"/>
      <c r="AC442" s="241" t="n">
        <v>201</v>
      </c>
      <c r="AD442" s="243" t="s">
        <v>782</v>
      </c>
      <c r="AE442" s="229"/>
      <c r="AF442" s="229"/>
      <c r="AG442" s="229"/>
      <c r="AH442" s="238"/>
      <c r="AI442" s="240"/>
      <c r="AJ442" s="229"/>
      <c r="AK442" s="231"/>
      <c r="AL442" s="299"/>
      <c r="AM442" s="299"/>
      <c r="AN442" s="295"/>
      <c r="AO442" s="296"/>
      <c r="AP442" s="229"/>
      <c r="AQ442" s="300"/>
      <c r="AR442" s="278"/>
      <c r="AS442" s="277"/>
      <c r="AT442" s="229"/>
      <c r="AU442" s="229"/>
      <c r="AV442" s="229"/>
      <c r="AW442" s="5"/>
      <c r="AX442" s="5"/>
      <c r="AY442" s="5"/>
      <c r="AZ442" s="5"/>
      <c r="BA442" s="5"/>
      <c r="BB442" s="5"/>
      <c r="BC442" s="5"/>
      <c r="BD442" s="5"/>
      <c r="BE442" s="5"/>
      <c r="BF442" s="5"/>
      <c r="BG442" s="5"/>
    </row>
    <row r="443" customFormat="false" ht="1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212"/>
      <c r="V443" s="212"/>
      <c r="W443" s="212"/>
      <c r="X443" s="212"/>
      <c r="Y443" s="212"/>
      <c r="Z443" s="212"/>
      <c r="AA443" s="212"/>
      <c r="AB443" s="212"/>
      <c r="AC443" s="241" t="n">
        <v>202</v>
      </c>
      <c r="AD443" s="243" t="s">
        <v>783</v>
      </c>
      <c r="AE443" s="229"/>
      <c r="AF443" s="229"/>
      <c r="AG443" s="229"/>
      <c r="AH443" s="238"/>
      <c r="AI443" s="240"/>
      <c r="AJ443" s="229"/>
      <c r="AK443" s="231"/>
      <c r="AL443" s="299"/>
      <c r="AM443" s="299"/>
      <c r="AN443" s="295"/>
      <c r="AO443" s="296"/>
      <c r="AP443" s="229"/>
      <c r="AQ443" s="300"/>
      <c r="AR443" s="278"/>
      <c r="AS443" s="277"/>
      <c r="AT443" s="229"/>
      <c r="AU443" s="229"/>
      <c r="AV443" s="229"/>
      <c r="AW443" s="5"/>
      <c r="AX443" s="5"/>
      <c r="AY443" s="5"/>
      <c r="AZ443" s="5"/>
      <c r="BA443" s="5"/>
      <c r="BB443" s="5"/>
      <c r="BC443" s="5"/>
      <c r="BD443" s="5"/>
      <c r="BE443" s="5"/>
      <c r="BF443" s="5"/>
      <c r="BG443" s="5"/>
    </row>
    <row r="444" customFormat="false" ht="1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212"/>
      <c r="V444" s="212"/>
      <c r="W444" s="212"/>
      <c r="X444" s="212"/>
      <c r="Y444" s="212"/>
      <c r="Z444" s="212"/>
      <c r="AA444" s="212"/>
      <c r="AB444" s="212"/>
      <c r="AC444" s="241" t="n">
        <v>203</v>
      </c>
      <c r="AD444" s="243" t="s">
        <v>784</v>
      </c>
      <c r="AE444" s="229"/>
      <c r="AF444" s="229"/>
      <c r="AG444" s="229"/>
      <c r="AH444" s="238"/>
      <c r="AI444" s="240"/>
      <c r="AJ444" s="229"/>
      <c r="AK444" s="231"/>
      <c r="AL444" s="299"/>
      <c r="AM444" s="299"/>
      <c r="AN444" s="295"/>
      <c r="AO444" s="296"/>
      <c r="AP444" s="229"/>
      <c r="AQ444" s="300"/>
      <c r="AR444" s="278"/>
      <c r="AS444" s="277"/>
      <c r="AT444" s="229"/>
      <c r="AU444" s="229"/>
      <c r="AV444" s="229"/>
      <c r="AW444" s="5"/>
      <c r="AX444" s="5"/>
      <c r="AY444" s="5"/>
      <c r="AZ444" s="5"/>
      <c r="BA444" s="5"/>
      <c r="BB444" s="5"/>
      <c r="BC444" s="5"/>
      <c r="BD444" s="5"/>
      <c r="BE444" s="5"/>
      <c r="BF444" s="5"/>
      <c r="BG444" s="5"/>
    </row>
    <row r="445" customFormat="false" ht="1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212"/>
      <c r="V445" s="212"/>
      <c r="W445" s="212"/>
      <c r="X445" s="212"/>
      <c r="Y445" s="212"/>
      <c r="Z445" s="212"/>
      <c r="AA445" s="212"/>
      <c r="AB445" s="212"/>
      <c r="AC445" s="241" t="n">
        <v>204</v>
      </c>
      <c r="AD445" s="243" t="s">
        <v>785</v>
      </c>
      <c r="AE445" s="229"/>
      <c r="AF445" s="229"/>
      <c r="AG445" s="229"/>
      <c r="AH445" s="238"/>
      <c r="AI445" s="240"/>
      <c r="AJ445" s="229"/>
      <c r="AK445" s="231"/>
      <c r="AL445" s="299"/>
      <c r="AM445" s="299"/>
      <c r="AN445" s="295"/>
      <c r="AO445" s="296"/>
      <c r="AP445" s="229"/>
      <c r="AQ445" s="300"/>
      <c r="AR445" s="278"/>
      <c r="AS445" s="277"/>
      <c r="AT445" s="229"/>
      <c r="AU445" s="229"/>
      <c r="AV445" s="229"/>
      <c r="AW445" s="5"/>
      <c r="AX445" s="5"/>
      <c r="AY445" s="5"/>
      <c r="AZ445" s="5"/>
      <c r="BA445" s="5"/>
      <c r="BB445" s="5"/>
      <c r="BC445" s="5"/>
      <c r="BD445" s="5"/>
      <c r="BE445" s="5"/>
      <c r="BF445" s="5"/>
      <c r="BG445" s="5"/>
    </row>
    <row r="446" customFormat="false" ht="1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212"/>
      <c r="V446" s="212"/>
      <c r="W446" s="212"/>
      <c r="X446" s="212"/>
      <c r="Y446" s="212"/>
      <c r="Z446" s="212"/>
      <c r="AA446" s="212"/>
      <c r="AB446" s="212"/>
      <c r="AC446" s="241" t="n">
        <v>205</v>
      </c>
      <c r="AD446" s="243" t="s">
        <v>786</v>
      </c>
      <c r="AE446" s="229"/>
      <c r="AF446" s="229"/>
      <c r="AG446" s="229"/>
      <c r="AH446" s="238"/>
      <c r="AI446" s="240"/>
      <c r="AJ446" s="229"/>
      <c r="AK446" s="231"/>
      <c r="AL446" s="299"/>
      <c r="AM446" s="299"/>
      <c r="AN446" s="295"/>
      <c r="AO446" s="296"/>
      <c r="AP446" s="229"/>
      <c r="AQ446" s="300"/>
      <c r="AR446" s="278"/>
      <c r="AS446" s="277"/>
      <c r="AT446" s="229"/>
      <c r="AU446" s="229"/>
      <c r="AV446" s="229"/>
      <c r="AW446" s="5"/>
      <c r="AX446" s="5"/>
      <c r="AY446" s="5"/>
      <c r="AZ446" s="5"/>
      <c r="BA446" s="5"/>
      <c r="BB446" s="5"/>
      <c r="BC446" s="5"/>
      <c r="BD446" s="5"/>
      <c r="BE446" s="5"/>
      <c r="BF446" s="5"/>
      <c r="BG446" s="5"/>
    </row>
    <row r="447" customFormat="false" ht="1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212"/>
      <c r="V447" s="212"/>
      <c r="W447" s="212"/>
      <c r="X447" s="212"/>
      <c r="Y447" s="212"/>
      <c r="Z447" s="212"/>
      <c r="AA447" s="212"/>
      <c r="AB447" s="212"/>
      <c r="AC447" s="241" t="n">
        <v>206</v>
      </c>
      <c r="AD447" s="243" t="s">
        <v>787</v>
      </c>
      <c r="AE447" s="229"/>
      <c r="AF447" s="229"/>
      <c r="AG447" s="229"/>
      <c r="AH447" s="238"/>
      <c r="AI447" s="240"/>
      <c r="AJ447" s="229"/>
      <c r="AK447" s="231"/>
      <c r="AL447" s="299"/>
      <c r="AM447" s="299"/>
      <c r="AN447" s="295"/>
      <c r="AO447" s="296"/>
      <c r="AP447" s="229"/>
      <c r="AQ447" s="300"/>
      <c r="AR447" s="278"/>
      <c r="AS447" s="277"/>
      <c r="AT447" s="229"/>
      <c r="AU447" s="229"/>
      <c r="AV447" s="229"/>
      <c r="AW447" s="5"/>
      <c r="AX447" s="5"/>
      <c r="AY447" s="5"/>
      <c r="AZ447" s="5"/>
      <c r="BA447" s="5"/>
      <c r="BB447" s="5"/>
      <c r="BC447" s="5"/>
      <c r="BD447" s="5"/>
      <c r="BE447" s="5"/>
      <c r="BF447" s="5"/>
      <c r="BG447" s="5"/>
    </row>
    <row r="448" customFormat="false" ht="1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212"/>
      <c r="V448" s="212"/>
      <c r="W448" s="212"/>
      <c r="X448" s="212"/>
      <c r="Y448" s="212"/>
      <c r="Z448" s="212"/>
      <c r="AA448" s="212"/>
      <c r="AB448" s="212"/>
      <c r="AC448" s="241" t="n">
        <v>207</v>
      </c>
      <c r="AD448" s="243" t="s">
        <v>788</v>
      </c>
      <c r="AE448" s="229"/>
      <c r="AF448" s="229"/>
      <c r="AG448" s="229"/>
      <c r="AH448" s="238"/>
      <c r="AI448" s="240"/>
      <c r="AJ448" s="229"/>
      <c r="AK448" s="231"/>
      <c r="AL448" s="299"/>
      <c r="AM448" s="299"/>
      <c r="AN448" s="295"/>
      <c r="AO448" s="296"/>
      <c r="AP448" s="229"/>
      <c r="AQ448" s="300"/>
      <c r="AR448" s="278"/>
      <c r="AS448" s="277"/>
      <c r="AT448" s="229"/>
      <c r="AU448" s="229"/>
      <c r="AV448" s="229"/>
      <c r="AW448" s="5"/>
      <c r="AX448" s="5"/>
      <c r="AY448" s="5"/>
      <c r="AZ448" s="5"/>
      <c r="BA448" s="5"/>
      <c r="BB448" s="5"/>
      <c r="BC448" s="5"/>
      <c r="BD448" s="5"/>
      <c r="BE448" s="5"/>
      <c r="BF448" s="5"/>
      <c r="BG448" s="5"/>
    </row>
    <row r="449" customFormat="false" ht="1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212"/>
      <c r="V449" s="212"/>
      <c r="W449" s="212"/>
      <c r="X449" s="212"/>
      <c r="Y449" s="212"/>
      <c r="Z449" s="212"/>
      <c r="AA449" s="212"/>
      <c r="AB449" s="212"/>
      <c r="AC449" s="241" t="n">
        <v>208</v>
      </c>
      <c r="AD449" s="243" t="s">
        <v>789</v>
      </c>
      <c r="AE449" s="229"/>
      <c r="AF449" s="229"/>
      <c r="AG449" s="229"/>
      <c r="AH449" s="238"/>
      <c r="AI449" s="240"/>
      <c r="AJ449" s="229"/>
      <c r="AK449" s="231"/>
      <c r="AL449" s="299"/>
      <c r="AM449" s="299"/>
      <c r="AN449" s="295"/>
      <c r="AO449" s="296"/>
      <c r="AP449" s="229"/>
      <c r="AQ449" s="300"/>
      <c r="AR449" s="278"/>
      <c r="AS449" s="277"/>
      <c r="AT449" s="229"/>
      <c r="AU449" s="229"/>
      <c r="AV449" s="229"/>
      <c r="AW449" s="5"/>
      <c r="AX449" s="5"/>
      <c r="AY449" s="5"/>
      <c r="AZ449" s="5"/>
      <c r="BA449" s="5"/>
      <c r="BB449" s="5"/>
      <c r="BC449" s="5"/>
      <c r="BD449" s="5"/>
      <c r="BE449" s="5"/>
      <c r="BF449" s="5"/>
      <c r="BG449" s="5"/>
    </row>
    <row r="450" customFormat="false" ht="1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212"/>
      <c r="V450" s="212"/>
      <c r="W450" s="212"/>
      <c r="X450" s="212"/>
      <c r="Y450" s="212"/>
      <c r="Z450" s="212"/>
      <c r="AA450" s="212"/>
      <c r="AB450" s="212"/>
      <c r="AC450" s="241" t="n">
        <v>209</v>
      </c>
      <c r="AD450" s="243" t="s">
        <v>790</v>
      </c>
      <c r="AE450" s="229"/>
      <c r="AF450" s="229"/>
      <c r="AG450" s="229"/>
      <c r="AH450" s="238"/>
      <c r="AI450" s="240"/>
      <c r="AJ450" s="229"/>
      <c r="AK450" s="231"/>
      <c r="AL450" s="299"/>
      <c r="AM450" s="299"/>
      <c r="AN450" s="295"/>
      <c r="AO450" s="296"/>
      <c r="AP450" s="229"/>
      <c r="AQ450" s="300"/>
      <c r="AR450" s="278"/>
      <c r="AS450" s="277"/>
      <c r="AT450" s="229"/>
      <c r="AU450" s="229"/>
      <c r="AV450" s="229"/>
      <c r="AW450" s="5"/>
      <c r="AX450" s="5"/>
      <c r="AY450" s="5"/>
      <c r="AZ450" s="5"/>
      <c r="BA450" s="5"/>
      <c r="BB450" s="5"/>
      <c r="BC450" s="5"/>
      <c r="BD450" s="5"/>
      <c r="BE450" s="5"/>
      <c r="BF450" s="5"/>
      <c r="BG450" s="5"/>
    </row>
    <row r="451" customFormat="false" ht="1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212"/>
      <c r="V451" s="212"/>
      <c r="W451" s="212"/>
      <c r="X451" s="212"/>
      <c r="Y451" s="212"/>
      <c r="Z451" s="212"/>
      <c r="AA451" s="212"/>
      <c r="AB451" s="212"/>
      <c r="AC451" s="241" t="n">
        <v>210</v>
      </c>
      <c r="AD451" s="243" t="s">
        <v>791</v>
      </c>
      <c r="AE451" s="229"/>
      <c r="AF451" s="229"/>
      <c r="AG451" s="229"/>
      <c r="AH451" s="238"/>
      <c r="AI451" s="240"/>
      <c r="AJ451" s="229"/>
      <c r="AK451" s="231"/>
      <c r="AL451" s="299"/>
      <c r="AM451" s="299"/>
      <c r="AN451" s="295"/>
      <c r="AO451" s="296"/>
      <c r="AP451" s="229"/>
      <c r="AQ451" s="300"/>
      <c r="AR451" s="278"/>
      <c r="AS451" s="277"/>
      <c r="AT451" s="229"/>
      <c r="AU451" s="229"/>
      <c r="AV451" s="229"/>
      <c r="AW451" s="5"/>
      <c r="AX451" s="5"/>
      <c r="AY451" s="5"/>
      <c r="AZ451" s="5"/>
      <c r="BA451" s="5"/>
      <c r="BB451" s="5"/>
      <c r="BC451" s="5"/>
      <c r="BD451" s="5"/>
      <c r="BE451" s="5"/>
      <c r="BF451" s="5"/>
      <c r="BG451" s="5"/>
    </row>
    <row r="452" customFormat="false" ht="1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212"/>
      <c r="V452" s="212"/>
      <c r="W452" s="212"/>
      <c r="X452" s="212"/>
      <c r="Y452" s="212"/>
      <c r="Z452" s="212"/>
      <c r="AA452" s="212"/>
      <c r="AB452" s="212"/>
      <c r="AC452" s="241" t="n">
        <v>211</v>
      </c>
      <c r="AD452" s="243" t="s">
        <v>792</v>
      </c>
      <c r="AE452" s="229"/>
      <c r="AF452" s="229"/>
      <c r="AG452" s="229"/>
      <c r="AH452" s="238"/>
      <c r="AI452" s="240"/>
      <c r="AJ452" s="229"/>
      <c r="AK452" s="231"/>
      <c r="AL452" s="299"/>
      <c r="AM452" s="299"/>
      <c r="AN452" s="295"/>
      <c r="AO452" s="296"/>
      <c r="AP452" s="229"/>
      <c r="AQ452" s="300"/>
      <c r="AR452" s="278"/>
      <c r="AS452" s="277"/>
      <c r="AT452" s="229"/>
      <c r="AU452" s="229"/>
      <c r="AV452" s="229"/>
      <c r="AW452" s="5"/>
      <c r="AX452" s="5"/>
      <c r="AY452" s="5"/>
      <c r="AZ452" s="5"/>
      <c r="BA452" s="5"/>
      <c r="BB452" s="5"/>
      <c r="BC452" s="5"/>
      <c r="BD452" s="5"/>
      <c r="BE452" s="5"/>
      <c r="BF452" s="5"/>
      <c r="BG452" s="5"/>
    </row>
    <row r="453" customFormat="false" ht="1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212"/>
      <c r="V453" s="212"/>
      <c r="W453" s="212"/>
      <c r="X453" s="212"/>
      <c r="Y453" s="212"/>
      <c r="Z453" s="212"/>
      <c r="AA453" s="212"/>
      <c r="AB453" s="212"/>
      <c r="AC453" s="241" t="n">
        <v>212</v>
      </c>
      <c r="AD453" s="243" t="s">
        <v>793</v>
      </c>
      <c r="AE453" s="229"/>
      <c r="AF453" s="229"/>
      <c r="AG453" s="229"/>
      <c r="AH453" s="238"/>
      <c r="AI453" s="240"/>
      <c r="AJ453" s="229"/>
      <c r="AK453" s="231"/>
      <c r="AL453" s="299"/>
      <c r="AM453" s="299"/>
      <c r="AN453" s="295"/>
      <c r="AO453" s="296"/>
      <c r="AP453" s="229"/>
      <c r="AQ453" s="300"/>
      <c r="AR453" s="278"/>
      <c r="AS453" s="277"/>
      <c r="AT453" s="229"/>
      <c r="AU453" s="229"/>
      <c r="AV453" s="229"/>
      <c r="AW453" s="5"/>
      <c r="AX453" s="5"/>
      <c r="AY453" s="5"/>
      <c r="AZ453" s="5"/>
      <c r="BA453" s="5"/>
      <c r="BB453" s="5"/>
      <c r="BC453" s="5"/>
      <c r="BD453" s="5"/>
      <c r="BE453" s="5"/>
      <c r="BF453" s="5"/>
      <c r="BG453" s="5"/>
    </row>
    <row r="454" customFormat="false" ht="1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212"/>
      <c r="V454" s="212"/>
      <c r="W454" s="212"/>
      <c r="X454" s="212"/>
      <c r="Y454" s="212"/>
      <c r="Z454" s="212"/>
      <c r="AA454" s="212"/>
      <c r="AB454" s="212"/>
      <c r="AC454" s="241" t="n">
        <v>213</v>
      </c>
      <c r="AD454" s="243" t="s">
        <v>794</v>
      </c>
      <c r="AE454" s="229"/>
      <c r="AF454" s="229"/>
      <c r="AG454" s="229"/>
      <c r="AH454" s="238"/>
      <c r="AI454" s="240"/>
      <c r="AJ454" s="229"/>
      <c r="AK454" s="231"/>
      <c r="AL454" s="299"/>
      <c r="AM454" s="299"/>
      <c r="AN454" s="295"/>
      <c r="AO454" s="296"/>
      <c r="AP454" s="229"/>
      <c r="AQ454" s="300"/>
      <c r="AR454" s="278"/>
      <c r="AS454" s="277"/>
      <c r="AT454" s="229"/>
      <c r="AU454" s="229"/>
      <c r="AV454" s="229"/>
      <c r="AW454" s="5"/>
      <c r="AX454" s="5"/>
      <c r="AY454" s="5"/>
      <c r="AZ454" s="5"/>
      <c r="BA454" s="5"/>
      <c r="BB454" s="5"/>
      <c r="BC454" s="5"/>
      <c r="BD454" s="5"/>
      <c r="BE454" s="5"/>
      <c r="BF454" s="5"/>
      <c r="BG454" s="5"/>
    </row>
    <row r="455" customFormat="false" ht="1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212"/>
      <c r="V455" s="212"/>
      <c r="W455" s="212"/>
      <c r="X455" s="212"/>
      <c r="Y455" s="212"/>
      <c r="Z455" s="212"/>
      <c r="AA455" s="212"/>
      <c r="AB455" s="212"/>
      <c r="AC455" s="241" t="n">
        <v>214</v>
      </c>
      <c r="AD455" s="243" t="s">
        <v>795</v>
      </c>
      <c r="AE455" s="229"/>
      <c r="AF455" s="229"/>
      <c r="AG455" s="229"/>
      <c r="AH455" s="238"/>
      <c r="AI455" s="240"/>
      <c r="AJ455" s="229"/>
      <c r="AK455" s="231"/>
      <c r="AL455" s="299"/>
      <c r="AM455" s="299"/>
      <c r="AN455" s="295"/>
      <c r="AO455" s="296"/>
      <c r="AP455" s="229"/>
      <c r="AQ455" s="229"/>
      <c r="AR455" s="229"/>
      <c r="AS455" s="229"/>
      <c r="AT455" s="229"/>
      <c r="AU455" s="229"/>
      <c r="AV455" s="229"/>
      <c r="AW455" s="5"/>
      <c r="AX455" s="5"/>
      <c r="AY455" s="5"/>
      <c r="AZ455" s="5"/>
      <c r="BA455" s="5"/>
      <c r="BB455" s="5"/>
      <c r="BC455" s="5"/>
      <c r="BD455" s="5"/>
      <c r="BE455" s="5"/>
      <c r="BF455" s="5"/>
      <c r="BG455" s="5"/>
    </row>
    <row r="456" customFormat="false" ht="1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212"/>
      <c r="V456" s="212"/>
      <c r="W456" s="212"/>
      <c r="X456" s="212"/>
      <c r="Y456" s="212"/>
      <c r="Z456" s="212"/>
      <c r="AA456" s="212"/>
      <c r="AB456" s="212"/>
      <c r="AC456" s="241" t="n">
        <v>215</v>
      </c>
      <c r="AD456" s="243" t="s">
        <v>796</v>
      </c>
      <c r="AE456" s="229"/>
      <c r="AF456" s="229"/>
      <c r="AG456" s="229"/>
      <c r="AH456" s="238"/>
      <c r="AI456" s="240"/>
      <c r="AJ456" s="229"/>
      <c r="AK456" s="231"/>
      <c r="AL456" s="299"/>
      <c r="AM456" s="299"/>
      <c r="AN456" s="295"/>
      <c r="AO456" s="296"/>
      <c r="AP456" s="229"/>
      <c r="AQ456" s="229"/>
      <c r="AR456" s="229"/>
      <c r="AS456" s="229"/>
      <c r="AT456" s="229"/>
      <c r="AU456" s="229"/>
      <c r="AV456" s="229"/>
      <c r="AW456" s="5"/>
      <c r="AX456" s="5"/>
      <c r="AY456" s="5"/>
      <c r="AZ456" s="5"/>
      <c r="BA456" s="5"/>
      <c r="BB456" s="5"/>
      <c r="BC456" s="5"/>
      <c r="BD456" s="5"/>
      <c r="BE456" s="5"/>
      <c r="BF456" s="5"/>
      <c r="BG456" s="5"/>
    </row>
    <row r="457" customFormat="false" ht="1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212"/>
      <c r="V457" s="212"/>
      <c r="W457" s="212"/>
      <c r="X457" s="212"/>
      <c r="Y457" s="212"/>
      <c r="Z457" s="212"/>
      <c r="AA457" s="212"/>
      <c r="AB457" s="212"/>
      <c r="AC457" s="241" t="n">
        <v>216</v>
      </c>
      <c r="AD457" s="243" t="s">
        <v>797</v>
      </c>
      <c r="AE457" s="229"/>
      <c r="AF457" s="229"/>
      <c r="AG457" s="229"/>
      <c r="AH457" s="238"/>
      <c r="AI457" s="240"/>
      <c r="AJ457" s="229"/>
      <c r="AK457" s="231"/>
      <c r="AL457" s="299"/>
      <c r="AM457" s="299"/>
      <c r="AN457" s="295"/>
      <c r="AO457" s="296"/>
      <c r="AP457" s="229"/>
      <c r="AQ457" s="229"/>
      <c r="AR457" s="229"/>
      <c r="AS457" s="229"/>
      <c r="AT457" s="229"/>
      <c r="AU457" s="229"/>
      <c r="AV457" s="229"/>
      <c r="AW457" s="5"/>
      <c r="AX457" s="5"/>
      <c r="AY457" s="5"/>
      <c r="AZ457" s="5"/>
      <c r="BA457" s="5"/>
      <c r="BB457" s="5"/>
      <c r="BC457" s="5"/>
      <c r="BD457" s="5"/>
      <c r="BE457" s="5"/>
      <c r="BF457" s="5"/>
      <c r="BG457" s="5"/>
    </row>
    <row r="458" customFormat="false" ht="1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212"/>
      <c r="V458" s="212"/>
      <c r="W458" s="212"/>
      <c r="X458" s="212"/>
      <c r="Y458" s="212"/>
      <c r="Z458" s="212"/>
      <c r="AA458" s="212"/>
      <c r="AB458" s="212"/>
      <c r="AC458" s="241" t="n">
        <v>217</v>
      </c>
      <c r="AD458" s="243" t="s">
        <v>798</v>
      </c>
      <c r="AE458" s="229"/>
      <c r="AF458" s="229"/>
      <c r="AG458" s="229"/>
      <c r="AH458" s="238"/>
      <c r="AI458" s="240"/>
      <c r="AJ458" s="229"/>
      <c r="AK458" s="231"/>
      <c r="AL458" s="299"/>
      <c r="AM458" s="299"/>
      <c r="AN458" s="295"/>
      <c r="AO458" s="296"/>
      <c r="AP458" s="229"/>
      <c r="AQ458" s="229"/>
      <c r="AR458" s="229"/>
      <c r="AS458" s="229"/>
      <c r="AT458" s="229"/>
      <c r="AU458" s="229"/>
      <c r="AV458" s="229"/>
      <c r="AW458" s="5"/>
      <c r="AX458" s="5"/>
      <c r="AY458" s="5"/>
      <c r="AZ458" s="5"/>
      <c r="BA458" s="5"/>
      <c r="BB458" s="5"/>
      <c r="BC458" s="5"/>
      <c r="BD458" s="5"/>
      <c r="BE458" s="5"/>
      <c r="BF458" s="5"/>
      <c r="BG458" s="5"/>
    </row>
    <row r="459" customFormat="false" ht="1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212"/>
      <c r="V459" s="212"/>
      <c r="W459" s="212"/>
      <c r="X459" s="212"/>
      <c r="Y459" s="212"/>
      <c r="Z459" s="212"/>
      <c r="AA459" s="212"/>
      <c r="AB459" s="212"/>
      <c r="AC459" s="241" t="n">
        <v>218</v>
      </c>
      <c r="AD459" s="243" t="s">
        <v>799</v>
      </c>
      <c r="AE459" s="229"/>
      <c r="AF459" s="229"/>
      <c r="AG459" s="229"/>
      <c r="AH459" s="238"/>
      <c r="AI459" s="240"/>
      <c r="AJ459" s="229"/>
      <c r="AK459" s="231"/>
      <c r="AL459" s="299"/>
      <c r="AM459" s="299"/>
      <c r="AN459" s="295"/>
      <c r="AO459" s="296"/>
      <c r="AP459" s="229"/>
      <c r="AQ459" s="229"/>
      <c r="AR459" s="229"/>
      <c r="AS459" s="229"/>
      <c r="AT459" s="229"/>
      <c r="AU459" s="229"/>
      <c r="AV459" s="229"/>
      <c r="AW459" s="5"/>
      <c r="AX459" s="5"/>
      <c r="AY459" s="5"/>
      <c r="AZ459" s="5"/>
      <c r="BA459" s="5"/>
      <c r="BB459" s="5"/>
      <c r="BC459" s="5"/>
      <c r="BD459" s="5"/>
      <c r="BE459" s="5"/>
      <c r="BF459" s="5"/>
      <c r="BG459" s="5"/>
    </row>
    <row r="460" customFormat="false" ht="1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212"/>
      <c r="V460" s="212"/>
      <c r="W460" s="212"/>
      <c r="X460" s="212"/>
      <c r="Y460" s="212"/>
      <c r="Z460" s="212"/>
      <c r="AA460" s="212"/>
      <c r="AB460" s="212"/>
      <c r="AC460" s="241" t="n">
        <v>219</v>
      </c>
      <c r="AD460" s="243" t="s">
        <v>800</v>
      </c>
      <c r="AE460" s="229"/>
      <c r="AF460" s="229"/>
      <c r="AG460" s="229"/>
      <c r="AH460" s="238"/>
      <c r="AI460" s="240"/>
      <c r="AJ460" s="229"/>
      <c r="AK460" s="231"/>
      <c r="AL460" s="299"/>
      <c r="AM460" s="299"/>
      <c r="AN460" s="295"/>
      <c r="AO460" s="296"/>
      <c r="AP460" s="229"/>
      <c r="AQ460" s="229"/>
      <c r="AR460" s="229"/>
      <c r="AS460" s="229"/>
      <c r="AT460" s="229"/>
      <c r="AU460" s="229"/>
      <c r="AV460" s="229"/>
      <c r="AW460" s="5"/>
      <c r="AX460" s="5"/>
      <c r="AY460" s="5"/>
      <c r="AZ460" s="5"/>
      <c r="BA460" s="5"/>
      <c r="BB460" s="5"/>
      <c r="BC460" s="5"/>
      <c r="BD460" s="5"/>
      <c r="BE460" s="5"/>
      <c r="BF460" s="5"/>
      <c r="BG460" s="5"/>
    </row>
    <row r="461" customFormat="false" ht="1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212"/>
      <c r="V461" s="212"/>
      <c r="W461" s="212"/>
      <c r="X461" s="212"/>
      <c r="Y461" s="212"/>
      <c r="Z461" s="212"/>
      <c r="AA461" s="212"/>
      <c r="AB461" s="212"/>
      <c r="AC461" s="241" t="n">
        <v>220</v>
      </c>
      <c r="AD461" s="243" t="s">
        <v>801</v>
      </c>
      <c r="AE461" s="229"/>
      <c r="AF461" s="229"/>
      <c r="AG461" s="229"/>
      <c r="AH461" s="238"/>
      <c r="AI461" s="240"/>
      <c r="AJ461" s="229"/>
      <c r="AK461" s="231"/>
      <c r="AL461" s="299"/>
      <c r="AM461" s="299"/>
      <c r="AN461" s="295"/>
      <c r="AO461" s="296"/>
      <c r="AP461" s="229"/>
      <c r="AQ461" s="229"/>
      <c r="AR461" s="229"/>
      <c r="AS461" s="229"/>
      <c r="AT461" s="229"/>
      <c r="AU461" s="229"/>
      <c r="AV461" s="229"/>
      <c r="AW461" s="5"/>
      <c r="AX461" s="5"/>
      <c r="AY461" s="5"/>
      <c r="AZ461" s="5"/>
      <c r="BA461" s="5"/>
      <c r="BB461" s="5"/>
      <c r="BC461" s="5"/>
      <c r="BD461" s="5"/>
      <c r="BE461" s="5"/>
      <c r="BF461" s="5"/>
      <c r="BG461" s="5"/>
    </row>
    <row r="462" customFormat="false" ht="1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212"/>
      <c r="V462" s="212"/>
      <c r="W462" s="212"/>
      <c r="X462" s="212"/>
      <c r="Y462" s="212"/>
      <c r="Z462" s="212"/>
      <c r="AA462" s="212"/>
      <c r="AB462" s="212"/>
      <c r="AC462" s="241" t="n">
        <v>221</v>
      </c>
      <c r="AD462" s="243" t="s">
        <v>802</v>
      </c>
      <c r="AE462" s="229"/>
      <c r="AF462" s="229"/>
      <c r="AG462" s="229"/>
      <c r="AH462" s="238"/>
      <c r="AI462" s="240"/>
      <c r="AJ462" s="229"/>
      <c r="AK462" s="231"/>
      <c r="AL462" s="299"/>
      <c r="AM462" s="299"/>
      <c r="AN462" s="295"/>
      <c r="AO462" s="296"/>
      <c r="AP462" s="229"/>
      <c r="AQ462" s="229"/>
      <c r="AR462" s="229"/>
      <c r="AS462" s="229"/>
      <c r="AT462" s="229"/>
      <c r="AU462" s="229"/>
      <c r="AV462" s="229"/>
      <c r="AW462" s="5"/>
      <c r="AX462" s="5"/>
      <c r="AY462" s="5"/>
      <c r="AZ462" s="5"/>
      <c r="BA462" s="5"/>
      <c r="BB462" s="5"/>
      <c r="BC462" s="5"/>
      <c r="BD462" s="5"/>
      <c r="BE462" s="5"/>
      <c r="BF462" s="5"/>
      <c r="BG462" s="5"/>
    </row>
    <row r="463" customFormat="false" ht="1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212"/>
      <c r="V463" s="212"/>
      <c r="W463" s="212"/>
      <c r="X463" s="212"/>
      <c r="Y463" s="212"/>
      <c r="Z463" s="212"/>
      <c r="AA463" s="212"/>
      <c r="AB463" s="212"/>
      <c r="AC463" s="241" t="n">
        <v>222</v>
      </c>
      <c r="AD463" s="243" t="s">
        <v>803</v>
      </c>
      <c r="AE463" s="229"/>
      <c r="AF463" s="229"/>
      <c r="AG463" s="229"/>
      <c r="AH463" s="238"/>
      <c r="AI463" s="240"/>
      <c r="AJ463" s="229"/>
      <c r="AK463" s="231"/>
      <c r="AL463" s="299"/>
      <c r="AM463" s="299"/>
      <c r="AN463" s="295"/>
      <c r="AO463" s="296"/>
      <c r="AP463" s="229"/>
      <c r="AQ463" s="229"/>
      <c r="AR463" s="229"/>
      <c r="AS463" s="229"/>
      <c r="AT463" s="229"/>
      <c r="AU463" s="229"/>
      <c r="AV463" s="229"/>
      <c r="AW463" s="5"/>
      <c r="AX463" s="5"/>
      <c r="AY463" s="5"/>
      <c r="AZ463" s="5"/>
      <c r="BA463" s="5"/>
      <c r="BB463" s="5"/>
      <c r="BC463" s="5"/>
      <c r="BD463" s="5"/>
      <c r="BE463" s="5"/>
      <c r="BF463" s="5"/>
      <c r="BG463" s="5"/>
    </row>
    <row r="464" customFormat="false" ht="1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212"/>
      <c r="V464" s="212"/>
      <c r="W464" s="212"/>
      <c r="X464" s="212"/>
      <c r="Y464" s="212"/>
      <c r="Z464" s="212"/>
      <c r="AA464" s="212"/>
      <c r="AB464" s="212"/>
      <c r="AC464" s="241" t="n">
        <v>223</v>
      </c>
      <c r="AD464" s="243" t="s">
        <v>804</v>
      </c>
      <c r="AE464" s="229"/>
      <c r="AF464" s="229"/>
      <c r="AG464" s="229"/>
      <c r="AH464" s="238"/>
      <c r="AI464" s="240"/>
      <c r="AJ464" s="229"/>
      <c r="AK464" s="231"/>
      <c r="AL464" s="299"/>
      <c r="AM464" s="299"/>
      <c r="AN464" s="295"/>
      <c r="AO464" s="296"/>
      <c r="AP464" s="229"/>
      <c r="AQ464" s="229"/>
      <c r="AR464" s="229"/>
      <c r="AS464" s="229"/>
      <c r="AT464" s="229"/>
      <c r="AU464" s="229"/>
      <c r="AV464" s="229"/>
      <c r="AW464" s="5"/>
      <c r="AX464" s="5"/>
      <c r="AY464" s="5"/>
      <c r="AZ464" s="5"/>
      <c r="BA464" s="5"/>
      <c r="BB464" s="5"/>
      <c r="BC464" s="5"/>
      <c r="BD464" s="5"/>
      <c r="BE464" s="5"/>
      <c r="BF464" s="5"/>
      <c r="BG464" s="5"/>
    </row>
    <row r="465" customFormat="false" ht="1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212"/>
      <c r="V465" s="212"/>
      <c r="W465" s="212"/>
      <c r="X465" s="212"/>
      <c r="Y465" s="212"/>
      <c r="Z465" s="212"/>
      <c r="AA465" s="212"/>
      <c r="AB465" s="212"/>
      <c r="AC465" s="241" t="n">
        <v>224</v>
      </c>
      <c r="AD465" s="243" t="s">
        <v>805</v>
      </c>
      <c r="AE465" s="229"/>
      <c r="AF465" s="229"/>
      <c r="AG465" s="229"/>
      <c r="AH465" s="238"/>
      <c r="AI465" s="240"/>
      <c r="AJ465" s="229"/>
      <c r="AK465" s="231"/>
      <c r="AL465" s="299"/>
      <c r="AM465" s="299"/>
      <c r="AN465" s="295"/>
      <c r="AO465" s="296"/>
      <c r="AP465" s="229"/>
      <c r="AQ465" s="229"/>
      <c r="AR465" s="229"/>
      <c r="AS465" s="229"/>
      <c r="AT465" s="229"/>
      <c r="AU465" s="229"/>
      <c r="AV465" s="229"/>
      <c r="AW465" s="5"/>
      <c r="AX465" s="5"/>
      <c r="AY465" s="5"/>
      <c r="AZ465" s="5"/>
      <c r="BA465" s="5"/>
      <c r="BB465" s="5"/>
      <c r="BC465" s="5"/>
      <c r="BD465" s="5"/>
      <c r="BE465" s="5"/>
      <c r="BF465" s="5"/>
      <c r="BG465" s="5"/>
    </row>
    <row r="466" customFormat="false" ht="1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212"/>
      <c r="V466" s="212"/>
      <c r="W466" s="212"/>
      <c r="X466" s="212"/>
      <c r="Y466" s="212"/>
      <c r="Z466" s="212"/>
      <c r="AA466" s="212"/>
      <c r="AB466" s="212"/>
      <c r="AC466" s="241" t="n">
        <v>225</v>
      </c>
      <c r="AD466" s="243" t="s">
        <v>806</v>
      </c>
      <c r="AE466" s="229"/>
      <c r="AF466" s="229"/>
      <c r="AG466" s="229"/>
      <c r="AH466" s="238"/>
      <c r="AI466" s="240"/>
      <c r="AJ466" s="229"/>
      <c r="AK466" s="231"/>
      <c r="AL466" s="299"/>
      <c r="AM466" s="299"/>
      <c r="AN466" s="295"/>
      <c r="AO466" s="296"/>
      <c r="AP466" s="229"/>
      <c r="AQ466" s="229"/>
      <c r="AR466" s="229"/>
      <c r="AS466" s="229"/>
      <c r="AT466" s="229"/>
      <c r="AU466" s="229"/>
      <c r="AV466" s="229"/>
      <c r="AW466" s="5"/>
      <c r="AX466" s="5"/>
      <c r="AY466" s="5"/>
      <c r="AZ466" s="5"/>
      <c r="BA466" s="5"/>
      <c r="BB466" s="5"/>
      <c r="BC466" s="5"/>
      <c r="BD466" s="5"/>
      <c r="BE466" s="5"/>
      <c r="BF466" s="5"/>
      <c r="BG466" s="5"/>
    </row>
    <row r="467" customFormat="false" ht="1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212"/>
      <c r="V467" s="212"/>
      <c r="W467" s="212"/>
      <c r="X467" s="212"/>
      <c r="Y467" s="212"/>
      <c r="Z467" s="212"/>
      <c r="AA467" s="212"/>
      <c r="AB467" s="212"/>
      <c r="AC467" s="241" t="n">
        <v>226</v>
      </c>
      <c r="AD467" s="243" t="s">
        <v>807</v>
      </c>
      <c r="AE467" s="229"/>
      <c r="AF467" s="229"/>
      <c r="AG467" s="229"/>
      <c r="AH467" s="238"/>
      <c r="AI467" s="240"/>
      <c r="AJ467" s="229"/>
      <c r="AK467" s="231"/>
      <c r="AL467" s="299"/>
      <c r="AM467" s="299"/>
      <c r="AN467" s="295"/>
      <c r="AO467" s="296"/>
      <c r="AP467" s="229"/>
      <c r="AQ467" s="229"/>
      <c r="AR467" s="229"/>
      <c r="AS467" s="229"/>
      <c r="AT467" s="229"/>
      <c r="AU467" s="229"/>
      <c r="AV467" s="229"/>
      <c r="AW467" s="5"/>
      <c r="AX467" s="5"/>
      <c r="AY467" s="5"/>
      <c r="AZ467" s="5"/>
      <c r="BA467" s="5"/>
      <c r="BB467" s="5"/>
      <c r="BC467" s="5"/>
      <c r="BD467" s="5"/>
      <c r="BE467" s="5"/>
      <c r="BF467" s="5"/>
      <c r="BG467" s="5"/>
    </row>
    <row r="468" customFormat="false" ht="1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212"/>
      <c r="V468" s="212"/>
      <c r="W468" s="212"/>
      <c r="X468" s="212"/>
      <c r="Y468" s="212"/>
      <c r="Z468" s="212"/>
      <c r="AA468" s="212"/>
      <c r="AB468" s="212"/>
      <c r="AC468" s="241" t="n">
        <v>227</v>
      </c>
      <c r="AD468" s="243" t="s">
        <v>808</v>
      </c>
      <c r="AE468" s="229"/>
      <c r="AF468" s="229"/>
      <c r="AG468" s="229"/>
      <c r="AH468" s="238"/>
      <c r="AI468" s="240"/>
      <c r="AJ468" s="229"/>
      <c r="AK468" s="231"/>
      <c r="AL468" s="299"/>
      <c r="AM468" s="299"/>
      <c r="AN468" s="295"/>
      <c r="AO468" s="296"/>
      <c r="AP468" s="229"/>
      <c r="AQ468" s="229"/>
      <c r="AR468" s="229"/>
      <c r="AS468" s="229"/>
      <c r="AT468" s="229"/>
      <c r="AU468" s="229"/>
      <c r="AV468" s="229"/>
      <c r="AW468" s="5"/>
      <c r="AX468" s="5"/>
      <c r="AY468" s="5"/>
      <c r="AZ468" s="5"/>
      <c r="BA468" s="5"/>
      <c r="BB468" s="5"/>
      <c r="BC468" s="5"/>
      <c r="BD468" s="5"/>
      <c r="BE468" s="5"/>
      <c r="BF468" s="5"/>
      <c r="BG468" s="5"/>
    </row>
    <row r="469" customFormat="false" ht="1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212"/>
      <c r="V469" s="212"/>
      <c r="W469" s="212"/>
      <c r="X469" s="212"/>
      <c r="Y469" s="212"/>
      <c r="Z469" s="212"/>
      <c r="AA469" s="212"/>
      <c r="AB469" s="212"/>
      <c r="AC469" s="241" t="n">
        <v>228</v>
      </c>
      <c r="AD469" s="243" t="s">
        <v>809</v>
      </c>
      <c r="AE469" s="229"/>
      <c r="AF469" s="229"/>
      <c r="AG469" s="229"/>
      <c r="AH469" s="238"/>
      <c r="AI469" s="240"/>
      <c r="AJ469" s="229"/>
      <c r="AK469" s="231"/>
      <c r="AL469" s="299"/>
      <c r="AM469" s="299"/>
      <c r="AN469" s="295"/>
      <c r="AO469" s="296"/>
      <c r="AP469" s="229"/>
      <c r="AQ469" s="229"/>
      <c r="AR469" s="229"/>
      <c r="AS469" s="229"/>
      <c r="AT469" s="229"/>
      <c r="AU469" s="229"/>
      <c r="AV469" s="229"/>
      <c r="AW469" s="5"/>
      <c r="AX469" s="5"/>
      <c r="AY469" s="5"/>
      <c r="AZ469" s="5"/>
      <c r="BA469" s="5"/>
      <c r="BB469" s="5"/>
      <c r="BC469" s="5"/>
      <c r="BD469" s="5"/>
      <c r="BE469" s="5"/>
      <c r="BF469" s="5"/>
      <c r="BG469" s="5"/>
    </row>
    <row r="470" customFormat="false" ht="1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212"/>
      <c r="V470" s="212"/>
      <c r="W470" s="212"/>
      <c r="X470" s="212"/>
      <c r="Y470" s="212"/>
      <c r="Z470" s="212"/>
      <c r="AA470" s="212"/>
      <c r="AB470" s="212"/>
      <c r="AC470" s="241" t="n">
        <v>229</v>
      </c>
      <c r="AD470" s="243" t="s">
        <v>810</v>
      </c>
      <c r="AE470" s="229"/>
      <c r="AF470" s="229"/>
      <c r="AG470" s="229"/>
      <c r="AH470" s="238"/>
      <c r="AI470" s="240"/>
      <c r="AJ470" s="229"/>
      <c r="AK470" s="231"/>
      <c r="AL470" s="299"/>
      <c r="AM470" s="299"/>
      <c r="AN470" s="295"/>
      <c r="AO470" s="296"/>
      <c r="AP470" s="229"/>
      <c r="AQ470" s="229"/>
      <c r="AR470" s="229"/>
      <c r="AS470" s="229"/>
      <c r="AT470" s="229"/>
      <c r="AU470" s="229"/>
      <c r="AV470" s="229"/>
      <c r="AW470" s="5"/>
      <c r="AX470" s="5"/>
      <c r="AY470" s="5"/>
      <c r="AZ470" s="5"/>
      <c r="BA470" s="5"/>
      <c r="BB470" s="5"/>
      <c r="BC470" s="5"/>
      <c r="BD470" s="5"/>
      <c r="BE470" s="5"/>
      <c r="BF470" s="5"/>
      <c r="BG470" s="5"/>
    </row>
    <row r="471" customFormat="false" ht="1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212"/>
      <c r="V471" s="212"/>
      <c r="W471" s="212"/>
      <c r="X471" s="212"/>
      <c r="Y471" s="212"/>
      <c r="Z471" s="212"/>
      <c r="AA471" s="212"/>
      <c r="AB471" s="212"/>
      <c r="AC471" s="241" t="n">
        <v>230</v>
      </c>
      <c r="AD471" s="243" t="s">
        <v>811</v>
      </c>
      <c r="AE471" s="229"/>
      <c r="AF471" s="229"/>
      <c r="AG471" s="229"/>
      <c r="AH471" s="238"/>
      <c r="AI471" s="240"/>
      <c r="AJ471" s="229"/>
      <c r="AK471" s="231"/>
      <c r="AL471" s="299"/>
      <c r="AM471" s="299"/>
      <c r="AN471" s="295"/>
      <c r="AO471" s="296"/>
      <c r="AP471" s="229"/>
      <c r="AQ471" s="229"/>
      <c r="AR471" s="229"/>
      <c r="AS471" s="229"/>
      <c r="AT471" s="229"/>
      <c r="AU471" s="229"/>
      <c r="AV471" s="229"/>
      <c r="AW471" s="5"/>
      <c r="AX471" s="5"/>
      <c r="AY471" s="5"/>
      <c r="AZ471" s="5"/>
      <c r="BA471" s="5"/>
      <c r="BB471" s="5"/>
      <c r="BC471" s="5"/>
      <c r="BD471" s="5"/>
      <c r="BE471" s="5"/>
      <c r="BF471" s="5"/>
      <c r="BG471" s="5"/>
    </row>
    <row r="472" customFormat="false" ht="1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212"/>
      <c r="V472" s="212"/>
      <c r="W472" s="212"/>
      <c r="X472" s="212"/>
      <c r="Y472" s="212"/>
      <c r="Z472" s="212"/>
      <c r="AA472" s="212"/>
      <c r="AB472" s="212"/>
      <c r="AC472" s="241" t="n">
        <v>231</v>
      </c>
      <c r="AD472" s="243" t="s">
        <v>812</v>
      </c>
      <c r="AE472" s="229"/>
      <c r="AF472" s="229"/>
      <c r="AG472" s="229"/>
      <c r="AH472" s="238"/>
      <c r="AI472" s="240"/>
      <c r="AJ472" s="229"/>
      <c r="AK472" s="231"/>
      <c r="AL472" s="299"/>
      <c r="AM472" s="299"/>
      <c r="AN472" s="295"/>
      <c r="AO472" s="296"/>
      <c r="AP472" s="229"/>
      <c r="AQ472" s="229"/>
      <c r="AR472" s="229"/>
      <c r="AS472" s="229"/>
      <c r="AT472" s="229"/>
      <c r="AU472" s="229"/>
      <c r="AV472" s="229"/>
      <c r="AW472" s="5"/>
      <c r="AX472" s="5"/>
      <c r="AY472" s="5"/>
      <c r="AZ472" s="5"/>
      <c r="BA472" s="5"/>
      <c r="BB472" s="5"/>
      <c r="BC472" s="5"/>
      <c r="BD472" s="5"/>
      <c r="BE472" s="5"/>
      <c r="BF472" s="5"/>
      <c r="BG472" s="5"/>
    </row>
    <row r="473" customFormat="false" ht="1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212"/>
      <c r="V473" s="212"/>
      <c r="W473" s="212"/>
      <c r="X473" s="212"/>
      <c r="Y473" s="212"/>
      <c r="Z473" s="212"/>
      <c r="AA473" s="212"/>
      <c r="AB473" s="212"/>
      <c r="AC473" s="241" t="n">
        <v>232</v>
      </c>
      <c r="AD473" s="243" t="s">
        <v>813</v>
      </c>
      <c r="AE473" s="229"/>
      <c r="AF473" s="229"/>
      <c r="AG473" s="229"/>
      <c r="AH473" s="238"/>
      <c r="AI473" s="240"/>
      <c r="AJ473" s="229"/>
      <c r="AK473" s="231"/>
      <c r="AL473" s="299"/>
      <c r="AM473" s="299"/>
      <c r="AN473" s="295"/>
      <c r="AO473" s="296"/>
      <c r="AP473" s="229"/>
      <c r="AQ473" s="229"/>
      <c r="AR473" s="229"/>
      <c r="AS473" s="229"/>
      <c r="AT473" s="229"/>
      <c r="AU473" s="229"/>
      <c r="AV473" s="229"/>
      <c r="AW473" s="5"/>
      <c r="AX473" s="5"/>
      <c r="AY473" s="5"/>
      <c r="AZ473" s="5"/>
      <c r="BA473" s="5"/>
      <c r="BB473" s="5"/>
      <c r="BC473" s="5"/>
      <c r="BD473" s="5"/>
      <c r="BE473" s="5"/>
      <c r="BF473" s="5"/>
      <c r="BG473" s="5"/>
    </row>
    <row r="474" customFormat="false" ht="1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212"/>
      <c r="V474" s="212"/>
      <c r="W474" s="212"/>
      <c r="X474" s="212"/>
      <c r="Y474" s="212"/>
      <c r="Z474" s="212"/>
      <c r="AA474" s="212"/>
      <c r="AB474" s="212"/>
      <c r="AC474" s="241" t="n">
        <v>233</v>
      </c>
      <c r="AD474" s="243" t="s">
        <v>814</v>
      </c>
      <c r="AE474" s="229"/>
      <c r="AF474" s="229"/>
      <c r="AG474" s="229"/>
      <c r="AH474" s="238"/>
      <c r="AI474" s="240"/>
      <c r="AJ474" s="229"/>
      <c r="AK474" s="231"/>
      <c r="AL474" s="299"/>
      <c r="AM474" s="299"/>
      <c r="AN474" s="295"/>
      <c r="AO474" s="296"/>
      <c r="AP474" s="229"/>
      <c r="AQ474" s="229"/>
      <c r="AR474" s="229"/>
      <c r="AS474" s="229"/>
      <c r="AT474" s="229"/>
      <c r="AU474" s="229"/>
      <c r="AV474" s="229"/>
      <c r="AW474" s="5"/>
      <c r="AX474" s="5"/>
      <c r="AY474" s="5"/>
      <c r="AZ474" s="5"/>
      <c r="BA474" s="5"/>
      <c r="BB474" s="5"/>
      <c r="BC474" s="5"/>
      <c r="BD474" s="5"/>
      <c r="BE474" s="5"/>
      <c r="BF474" s="5"/>
      <c r="BG474" s="5"/>
    </row>
    <row r="475" customFormat="false" ht="1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212"/>
      <c r="V475" s="212"/>
      <c r="W475" s="212"/>
      <c r="X475" s="212"/>
      <c r="Y475" s="212"/>
      <c r="Z475" s="212"/>
      <c r="AA475" s="212"/>
      <c r="AB475" s="212"/>
      <c r="AC475" s="241" t="n">
        <v>234</v>
      </c>
      <c r="AD475" s="243" t="s">
        <v>815</v>
      </c>
      <c r="AE475" s="229"/>
      <c r="AF475" s="229"/>
      <c r="AG475" s="229"/>
      <c r="AH475" s="238"/>
      <c r="AI475" s="240"/>
      <c r="AJ475" s="229"/>
      <c r="AK475" s="231"/>
      <c r="AL475" s="299"/>
      <c r="AM475" s="299"/>
      <c r="AN475" s="295"/>
      <c r="AO475" s="296"/>
      <c r="AP475" s="229"/>
      <c r="AQ475" s="229"/>
      <c r="AR475" s="229"/>
      <c r="AS475" s="229"/>
      <c r="AT475" s="229"/>
      <c r="AU475" s="229"/>
      <c r="AV475" s="229"/>
      <c r="AW475" s="5"/>
      <c r="AX475" s="5"/>
      <c r="AY475" s="5"/>
      <c r="AZ475" s="5"/>
      <c r="BA475" s="5"/>
      <c r="BB475" s="5"/>
      <c r="BC475" s="5"/>
      <c r="BD475" s="5"/>
      <c r="BE475" s="5"/>
      <c r="BF475" s="5"/>
      <c r="BG475" s="5"/>
    </row>
    <row r="476" customFormat="false" ht="1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212"/>
      <c r="V476" s="212"/>
      <c r="W476" s="212"/>
      <c r="X476" s="212"/>
      <c r="Y476" s="212"/>
      <c r="Z476" s="212"/>
      <c r="AA476" s="212"/>
      <c r="AB476" s="212"/>
      <c r="AC476" s="241" t="n">
        <v>235</v>
      </c>
      <c r="AD476" s="243" t="s">
        <v>816</v>
      </c>
      <c r="AE476" s="229"/>
      <c r="AF476" s="229"/>
      <c r="AG476" s="229"/>
      <c r="AH476" s="238"/>
      <c r="AI476" s="240"/>
      <c r="AJ476" s="229"/>
      <c r="AK476" s="231"/>
      <c r="AL476" s="299"/>
      <c r="AM476" s="299"/>
      <c r="AN476" s="295"/>
      <c r="AO476" s="296"/>
      <c r="AP476" s="229"/>
      <c r="AQ476" s="229"/>
      <c r="AR476" s="229"/>
      <c r="AS476" s="229"/>
      <c r="AT476" s="229"/>
      <c r="AU476" s="229"/>
      <c r="AV476" s="229"/>
      <c r="AW476" s="5"/>
      <c r="AX476" s="5"/>
      <c r="AY476" s="5"/>
      <c r="AZ476" s="5"/>
      <c r="BA476" s="5"/>
      <c r="BB476" s="5"/>
      <c r="BC476" s="5"/>
      <c r="BD476" s="5"/>
      <c r="BE476" s="5"/>
      <c r="BF476" s="5"/>
      <c r="BG476" s="5"/>
    </row>
    <row r="477" customFormat="false" ht="1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212"/>
      <c r="V477" s="212"/>
      <c r="W477" s="212"/>
      <c r="X477" s="212"/>
      <c r="Y477" s="212"/>
      <c r="Z477" s="212"/>
      <c r="AA477" s="212"/>
      <c r="AB477" s="212"/>
      <c r="AC477" s="241" t="n">
        <v>236</v>
      </c>
      <c r="AD477" s="243" t="s">
        <v>817</v>
      </c>
      <c r="AE477" s="229"/>
      <c r="AF477" s="229"/>
      <c r="AG477" s="229"/>
      <c r="AH477" s="238"/>
      <c r="AI477" s="240"/>
      <c r="AJ477" s="229"/>
      <c r="AK477" s="231"/>
      <c r="AL477" s="299"/>
      <c r="AM477" s="299"/>
      <c r="AN477" s="295"/>
      <c r="AO477" s="296"/>
      <c r="AP477" s="229"/>
      <c r="AQ477" s="229"/>
      <c r="AR477" s="229"/>
      <c r="AS477" s="229"/>
      <c r="AT477" s="229"/>
      <c r="AU477" s="229"/>
      <c r="AV477" s="229"/>
      <c r="AW477" s="5"/>
      <c r="AX477" s="5"/>
      <c r="AY477" s="5"/>
      <c r="AZ477" s="5"/>
      <c r="BA477" s="5"/>
      <c r="BB477" s="5"/>
      <c r="BC477" s="5"/>
      <c r="BD477" s="5"/>
      <c r="BE477" s="5"/>
      <c r="BF477" s="5"/>
      <c r="BG477" s="5"/>
    </row>
    <row r="478" customFormat="false" ht="1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212"/>
      <c r="V478" s="212"/>
      <c r="W478" s="212"/>
      <c r="X478" s="212"/>
      <c r="Y478" s="212"/>
      <c r="Z478" s="212"/>
      <c r="AA478" s="212"/>
      <c r="AB478" s="212"/>
      <c r="AC478" s="241" t="n">
        <v>237</v>
      </c>
      <c r="AD478" s="243" t="s">
        <v>818</v>
      </c>
      <c r="AE478" s="229"/>
      <c r="AF478" s="229"/>
      <c r="AG478" s="229"/>
      <c r="AH478" s="238"/>
      <c r="AI478" s="240"/>
      <c r="AJ478" s="229"/>
      <c r="AK478" s="231"/>
      <c r="AL478" s="299"/>
      <c r="AM478" s="299"/>
      <c r="AN478" s="295"/>
      <c r="AO478" s="296"/>
      <c r="AP478" s="229"/>
      <c r="AQ478" s="229"/>
      <c r="AR478" s="229"/>
      <c r="AS478" s="229"/>
      <c r="AT478" s="229"/>
      <c r="AU478" s="229"/>
      <c r="AV478" s="229"/>
      <c r="AW478" s="5"/>
      <c r="AX478" s="5"/>
      <c r="AY478" s="5"/>
      <c r="AZ478" s="5"/>
      <c r="BA478" s="5"/>
      <c r="BB478" s="5"/>
      <c r="BC478" s="5"/>
      <c r="BD478" s="5"/>
      <c r="BE478" s="5"/>
      <c r="BF478" s="5"/>
      <c r="BG478" s="5"/>
    </row>
    <row r="479" customFormat="false" ht="1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212"/>
      <c r="V479" s="212"/>
      <c r="W479" s="212"/>
      <c r="X479" s="212"/>
      <c r="Y479" s="212"/>
      <c r="Z479" s="212"/>
      <c r="AA479" s="212"/>
      <c r="AB479" s="212"/>
      <c r="AC479" s="241" t="n">
        <v>238</v>
      </c>
      <c r="AD479" s="243" t="s">
        <v>819</v>
      </c>
      <c r="AE479" s="229"/>
      <c r="AF479" s="229"/>
      <c r="AG479" s="229"/>
      <c r="AH479" s="238"/>
      <c r="AI479" s="240"/>
      <c r="AJ479" s="229"/>
      <c r="AK479" s="231"/>
      <c r="AL479" s="299"/>
      <c r="AM479" s="299"/>
      <c r="AN479" s="295"/>
      <c r="AO479" s="296"/>
      <c r="AP479" s="229"/>
      <c r="AQ479" s="229"/>
      <c r="AR479" s="229"/>
      <c r="AS479" s="229"/>
      <c r="AT479" s="229"/>
      <c r="AU479" s="229"/>
      <c r="AV479" s="229"/>
      <c r="AW479" s="5"/>
      <c r="AX479" s="5"/>
      <c r="AY479" s="5"/>
      <c r="AZ479" s="5"/>
      <c r="BA479" s="5"/>
      <c r="BB479" s="5"/>
      <c r="BC479" s="5"/>
      <c r="BD479" s="5"/>
      <c r="BE479" s="5"/>
      <c r="BF479" s="5"/>
      <c r="BG479" s="5"/>
    </row>
    <row r="480" customFormat="false" ht="1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212"/>
      <c r="V480" s="212"/>
      <c r="W480" s="212"/>
      <c r="X480" s="212"/>
      <c r="Y480" s="212"/>
      <c r="Z480" s="212"/>
      <c r="AA480" s="212"/>
      <c r="AB480" s="212"/>
      <c r="AC480" s="241" t="n">
        <v>239</v>
      </c>
      <c r="AD480" s="243" t="s">
        <v>820</v>
      </c>
      <c r="AE480" s="229"/>
      <c r="AF480" s="229"/>
      <c r="AG480" s="229"/>
      <c r="AH480" s="238"/>
      <c r="AI480" s="240"/>
      <c r="AJ480" s="229"/>
      <c r="AK480" s="231"/>
      <c r="AL480" s="299"/>
      <c r="AM480" s="299"/>
      <c r="AN480" s="295"/>
      <c r="AO480" s="296"/>
      <c r="AP480" s="229"/>
      <c r="AQ480" s="229"/>
      <c r="AR480" s="229"/>
      <c r="AS480" s="229"/>
      <c r="AT480" s="229"/>
      <c r="AU480" s="229"/>
      <c r="AV480" s="229"/>
      <c r="AW480" s="5"/>
      <c r="AX480" s="5"/>
      <c r="AY480" s="5"/>
      <c r="AZ480" s="5"/>
      <c r="BA480" s="5"/>
      <c r="BB480" s="5"/>
      <c r="BC480" s="5"/>
      <c r="BD480" s="5"/>
      <c r="BE480" s="5"/>
      <c r="BF480" s="5"/>
      <c r="BG480" s="5"/>
    </row>
    <row r="481" customFormat="false" ht="1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212"/>
      <c r="V481" s="212"/>
      <c r="W481" s="212"/>
      <c r="X481" s="212"/>
      <c r="Y481" s="212"/>
      <c r="Z481" s="212"/>
      <c r="AA481" s="212"/>
      <c r="AB481" s="212"/>
      <c r="AC481" s="241" t="n">
        <v>240</v>
      </c>
      <c r="AD481" s="243" t="s">
        <v>821</v>
      </c>
      <c r="AE481" s="229"/>
      <c r="AF481" s="229"/>
      <c r="AG481" s="229"/>
      <c r="AH481" s="238"/>
      <c r="AI481" s="240"/>
      <c r="AJ481" s="229"/>
      <c r="AK481" s="231"/>
      <c r="AL481" s="299"/>
      <c r="AM481" s="299"/>
      <c r="AN481" s="295"/>
      <c r="AO481" s="296"/>
      <c r="AP481" s="229"/>
      <c r="AQ481" s="229"/>
      <c r="AR481" s="229"/>
      <c r="AS481" s="229"/>
      <c r="AT481" s="229"/>
      <c r="AU481" s="229"/>
      <c r="AV481" s="229"/>
      <c r="AW481" s="5"/>
      <c r="AX481" s="5"/>
      <c r="AY481" s="5"/>
      <c r="AZ481" s="5"/>
      <c r="BA481" s="5"/>
      <c r="BB481" s="5"/>
      <c r="BC481" s="5"/>
      <c r="BD481" s="5"/>
      <c r="BE481" s="5"/>
      <c r="BF481" s="5"/>
      <c r="BG481" s="5"/>
    </row>
    <row r="482" customFormat="false" ht="1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212"/>
      <c r="V482" s="212"/>
      <c r="W482" s="212"/>
      <c r="X482" s="212"/>
      <c r="Y482" s="212"/>
      <c r="Z482" s="212"/>
      <c r="AA482" s="212"/>
      <c r="AB482" s="212"/>
      <c r="AC482" s="241" t="n">
        <v>241</v>
      </c>
      <c r="AD482" s="243" t="s">
        <v>822</v>
      </c>
      <c r="AE482" s="229"/>
      <c r="AF482" s="229"/>
      <c r="AG482" s="229"/>
      <c r="AH482" s="238"/>
      <c r="AI482" s="240"/>
      <c r="AJ482" s="229"/>
      <c r="AK482" s="231"/>
      <c r="AL482" s="299"/>
      <c r="AM482" s="299"/>
      <c r="AN482" s="295"/>
      <c r="AO482" s="296"/>
      <c r="AP482" s="229"/>
      <c r="AQ482" s="229"/>
      <c r="AR482" s="229"/>
      <c r="AS482" s="229"/>
      <c r="AT482" s="229"/>
      <c r="AU482" s="229"/>
      <c r="AV482" s="229"/>
      <c r="AW482" s="5"/>
      <c r="AX482" s="5"/>
      <c r="AY482" s="5"/>
      <c r="AZ482" s="5"/>
      <c r="BA482" s="5"/>
      <c r="BB482" s="5"/>
      <c r="BC482" s="5"/>
      <c r="BD482" s="5"/>
      <c r="BE482" s="5"/>
      <c r="BF482" s="5"/>
      <c r="BG482" s="5"/>
    </row>
    <row r="483" customFormat="false" ht="1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212"/>
      <c r="V483" s="212"/>
      <c r="W483" s="212"/>
      <c r="X483" s="212"/>
      <c r="Y483" s="212"/>
      <c r="Z483" s="212"/>
      <c r="AA483" s="212"/>
      <c r="AB483" s="212"/>
      <c r="AC483" s="241" t="n">
        <v>242</v>
      </c>
      <c r="AD483" s="243" t="s">
        <v>823</v>
      </c>
      <c r="AE483" s="229"/>
      <c r="AF483" s="229"/>
      <c r="AG483" s="229"/>
      <c r="AH483" s="238"/>
      <c r="AI483" s="240"/>
      <c r="AJ483" s="229"/>
      <c r="AK483" s="231"/>
      <c r="AL483" s="299"/>
      <c r="AM483" s="299"/>
      <c r="AN483" s="295"/>
      <c r="AO483" s="296"/>
      <c r="AP483" s="229"/>
      <c r="AQ483" s="229"/>
      <c r="AR483" s="229"/>
      <c r="AS483" s="229"/>
      <c r="AT483" s="229"/>
      <c r="AU483" s="229"/>
      <c r="AV483" s="229"/>
      <c r="AW483" s="5"/>
      <c r="AX483" s="5"/>
      <c r="AY483" s="5"/>
      <c r="AZ483" s="5"/>
      <c r="BA483" s="5"/>
      <c r="BB483" s="5"/>
      <c r="BC483" s="5"/>
      <c r="BD483" s="5"/>
      <c r="BE483" s="5"/>
      <c r="BF483" s="5"/>
      <c r="BG483" s="5"/>
    </row>
    <row r="484" customFormat="false" ht="1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212"/>
      <c r="V484" s="212"/>
      <c r="W484" s="212"/>
      <c r="X484" s="212"/>
      <c r="Y484" s="212"/>
      <c r="Z484" s="212"/>
      <c r="AA484" s="212"/>
      <c r="AB484" s="212"/>
      <c r="AC484" s="241" t="n">
        <v>243</v>
      </c>
      <c r="AD484" s="243" t="s">
        <v>824</v>
      </c>
      <c r="AE484" s="229"/>
      <c r="AF484" s="229"/>
      <c r="AG484" s="229"/>
      <c r="AH484" s="238"/>
      <c r="AI484" s="240"/>
      <c r="AJ484" s="229"/>
      <c r="AK484" s="231"/>
      <c r="AL484" s="299"/>
      <c r="AM484" s="299"/>
      <c r="AN484" s="295"/>
      <c r="AO484" s="296"/>
      <c r="AP484" s="229"/>
      <c r="AQ484" s="229"/>
      <c r="AR484" s="229"/>
      <c r="AS484" s="229"/>
      <c r="AT484" s="229"/>
      <c r="AU484" s="229"/>
      <c r="AV484" s="229"/>
      <c r="AW484" s="5"/>
      <c r="AX484" s="5"/>
      <c r="AY484" s="5"/>
      <c r="AZ484" s="5"/>
      <c r="BA484" s="5"/>
      <c r="BB484" s="5"/>
      <c r="BC484" s="5"/>
      <c r="BD484" s="5"/>
      <c r="BE484" s="5"/>
      <c r="BF484" s="5"/>
      <c r="BG484" s="5"/>
    </row>
    <row r="485" customFormat="false" ht="1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212"/>
      <c r="V485" s="212"/>
      <c r="W485" s="212"/>
      <c r="X485" s="212"/>
      <c r="Y485" s="212"/>
      <c r="Z485" s="212"/>
      <c r="AA485" s="212"/>
      <c r="AB485" s="212"/>
      <c r="AC485" s="241" t="n">
        <v>244</v>
      </c>
      <c r="AD485" s="243" t="s">
        <v>825</v>
      </c>
      <c r="AE485" s="229"/>
      <c r="AF485" s="229"/>
      <c r="AG485" s="229"/>
      <c r="AH485" s="238"/>
      <c r="AI485" s="240"/>
      <c r="AJ485" s="229"/>
      <c r="AK485" s="231"/>
      <c r="AL485" s="299"/>
      <c r="AM485" s="299"/>
      <c r="AN485" s="295"/>
      <c r="AO485" s="296"/>
      <c r="AP485" s="229"/>
      <c r="AQ485" s="229"/>
      <c r="AR485" s="229"/>
      <c r="AS485" s="229"/>
      <c r="AT485" s="229"/>
      <c r="AU485" s="229"/>
      <c r="AV485" s="229"/>
      <c r="AW485" s="5"/>
      <c r="AX485" s="5"/>
      <c r="AY485" s="5"/>
      <c r="AZ485" s="5"/>
      <c r="BA485" s="5"/>
      <c r="BB485" s="5"/>
      <c r="BC485" s="5"/>
      <c r="BD485" s="5"/>
      <c r="BE485" s="5"/>
      <c r="BF485" s="5"/>
      <c r="BG485" s="5"/>
    </row>
    <row r="486" customFormat="false" ht="1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212"/>
      <c r="V486" s="212"/>
      <c r="W486" s="212"/>
      <c r="X486" s="212"/>
      <c r="Y486" s="212"/>
      <c r="Z486" s="212"/>
      <c r="AA486" s="212"/>
      <c r="AB486" s="212"/>
      <c r="AC486" s="241" t="n">
        <v>245</v>
      </c>
      <c r="AD486" s="243" t="s">
        <v>826</v>
      </c>
      <c r="AE486" s="229"/>
      <c r="AF486" s="229"/>
      <c r="AG486" s="229"/>
      <c r="AH486" s="238"/>
      <c r="AI486" s="240"/>
      <c r="AJ486" s="229"/>
      <c r="AK486" s="231"/>
      <c r="AL486" s="299"/>
      <c r="AM486" s="299"/>
      <c r="AN486" s="295"/>
      <c r="AO486" s="296"/>
      <c r="AP486" s="229"/>
      <c r="AQ486" s="229"/>
      <c r="AR486" s="229"/>
      <c r="AS486" s="229"/>
      <c r="AT486" s="229"/>
      <c r="AU486" s="229"/>
      <c r="AV486" s="229"/>
      <c r="AW486" s="5"/>
      <c r="AX486" s="5"/>
      <c r="AY486" s="5"/>
      <c r="AZ486" s="5"/>
      <c r="BA486" s="5"/>
      <c r="BB486" s="5"/>
      <c r="BC486" s="5"/>
      <c r="BD486" s="5"/>
      <c r="BE486" s="5"/>
      <c r="BF486" s="5"/>
      <c r="BG486" s="5"/>
    </row>
    <row r="487" customFormat="false" ht="1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212"/>
      <c r="V487" s="212"/>
      <c r="W487" s="212"/>
      <c r="X487" s="212"/>
      <c r="Y487" s="212"/>
      <c r="Z487" s="212"/>
      <c r="AA487" s="212"/>
      <c r="AB487" s="212"/>
      <c r="AC487" s="241" t="n">
        <v>246</v>
      </c>
      <c r="AD487" s="243" t="s">
        <v>827</v>
      </c>
      <c r="AE487" s="229"/>
      <c r="AF487" s="229"/>
      <c r="AG487" s="229"/>
      <c r="AH487" s="238"/>
      <c r="AI487" s="240"/>
      <c r="AJ487" s="229"/>
      <c r="AK487" s="231"/>
      <c r="AL487" s="299"/>
      <c r="AM487" s="299"/>
      <c r="AN487" s="295"/>
      <c r="AO487" s="296"/>
      <c r="AP487" s="229"/>
      <c r="AQ487" s="229"/>
      <c r="AR487" s="229"/>
      <c r="AS487" s="229"/>
      <c r="AT487" s="229"/>
      <c r="AU487" s="229"/>
      <c r="AV487" s="229"/>
      <c r="AW487" s="5"/>
      <c r="AX487" s="5"/>
      <c r="AY487" s="5"/>
      <c r="AZ487" s="5"/>
      <c r="BA487" s="5"/>
      <c r="BB487" s="5"/>
      <c r="BC487" s="5"/>
      <c r="BD487" s="5"/>
      <c r="BE487" s="5"/>
      <c r="BF487" s="5"/>
      <c r="BG487" s="5"/>
    </row>
    <row r="488" customFormat="false" ht="1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212"/>
      <c r="V488" s="212"/>
      <c r="W488" s="212"/>
      <c r="X488" s="212"/>
      <c r="Y488" s="212"/>
      <c r="Z488" s="212"/>
      <c r="AA488" s="212"/>
      <c r="AB488" s="212"/>
      <c r="AC488" s="241" t="n">
        <v>247</v>
      </c>
      <c r="AD488" s="243" t="s">
        <v>828</v>
      </c>
      <c r="AE488" s="229"/>
      <c r="AF488" s="229"/>
      <c r="AG488" s="229"/>
      <c r="AH488" s="238"/>
      <c r="AI488" s="240"/>
      <c r="AJ488" s="229"/>
      <c r="AK488" s="231"/>
      <c r="AL488" s="299"/>
      <c r="AM488" s="299"/>
      <c r="AN488" s="295"/>
      <c r="AO488" s="296"/>
      <c r="AP488" s="229"/>
      <c r="AQ488" s="229"/>
      <c r="AR488" s="229"/>
      <c r="AS488" s="229"/>
      <c r="AT488" s="229"/>
      <c r="AU488" s="229"/>
      <c r="AV488" s="229"/>
      <c r="AW488" s="5"/>
      <c r="AX488" s="5"/>
      <c r="AY488" s="5"/>
      <c r="AZ488" s="5"/>
      <c r="BA488" s="5"/>
      <c r="BB488" s="5"/>
      <c r="BC488" s="5"/>
      <c r="BD488" s="5"/>
      <c r="BE488" s="5"/>
      <c r="BF488" s="5"/>
      <c r="BG488" s="5"/>
    </row>
    <row r="489" customFormat="false" ht="1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212"/>
      <c r="V489" s="212"/>
      <c r="W489" s="212"/>
      <c r="X489" s="212"/>
      <c r="Y489" s="212"/>
      <c r="Z489" s="212"/>
      <c r="AA489" s="212"/>
      <c r="AB489" s="212"/>
      <c r="AC489" s="241" t="n">
        <v>248</v>
      </c>
      <c r="AD489" s="243" t="s">
        <v>829</v>
      </c>
      <c r="AE489" s="229"/>
      <c r="AF489" s="229"/>
      <c r="AG489" s="229"/>
      <c r="AH489" s="238"/>
      <c r="AI489" s="240"/>
      <c r="AJ489" s="229"/>
      <c r="AK489" s="231"/>
      <c r="AL489" s="299"/>
      <c r="AM489" s="299"/>
      <c r="AN489" s="295"/>
      <c r="AO489" s="296"/>
      <c r="AP489" s="229"/>
      <c r="AQ489" s="229"/>
      <c r="AR489" s="229"/>
      <c r="AS489" s="229"/>
      <c r="AT489" s="229"/>
      <c r="AU489" s="229"/>
      <c r="AV489" s="229"/>
      <c r="AW489" s="5"/>
      <c r="AX489" s="5"/>
      <c r="AY489" s="5"/>
      <c r="AZ489" s="5"/>
      <c r="BA489" s="5"/>
      <c r="BB489" s="5"/>
      <c r="BC489" s="5"/>
      <c r="BD489" s="5"/>
      <c r="BE489" s="5"/>
      <c r="BF489" s="5"/>
      <c r="BG489" s="5"/>
    </row>
    <row r="490" customFormat="false" ht="1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212"/>
      <c r="V490" s="212"/>
      <c r="W490" s="212"/>
      <c r="X490" s="212"/>
      <c r="Y490" s="212"/>
      <c r="Z490" s="212"/>
      <c r="AA490" s="212"/>
      <c r="AB490" s="212"/>
      <c r="AC490" s="241" t="n">
        <v>249</v>
      </c>
      <c r="AD490" s="243" t="s">
        <v>830</v>
      </c>
      <c r="AE490" s="229"/>
      <c r="AF490" s="229"/>
      <c r="AG490" s="229"/>
      <c r="AH490" s="238"/>
      <c r="AI490" s="240"/>
      <c r="AJ490" s="229"/>
      <c r="AK490" s="231"/>
      <c r="AL490" s="229"/>
      <c r="AM490" s="229"/>
      <c r="AN490" s="229"/>
      <c r="AO490" s="229"/>
      <c r="AP490" s="229"/>
      <c r="AQ490" s="229"/>
      <c r="AR490" s="229"/>
      <c r="AS490" s="229"/>
      <c r="AT490" s="229"/>
      <c r="AU490" s="229"/>
      <c r="AV490" s="229"/>
      <c r="AW490" s="5"/>
      <c r="AX490" s="5"/>
      <c r="AY490" s="5"/>
      <c r="AZ490" s="5"/>
      <c r="BA490" s="5"/>
      <c r="BB490" s="5"/>
      <c r="BC490" s="5"/>
      <c r="BD490" s="5"/>
      <c r="BE490" s="5"/>
      <c r="BF490" s="5"/>
      <c r="BG490" s="5"/>
    </row>
    <row r="491" customFormat="false" ht="1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212"/>
      <c r="V491" s="212"/>
      <c r="W491" s="212"/>
      <c r="X491" s="212"/>
      <c r="Y491" s="212"/>
      <c r="Z491" s="212"/>
      <c r="AA491" s="212"/>
      <c r="AB491" s="212"/>
      <c r="AC491" s="241" t="n">
        <v>250</v>
      </c>
      <c r="AD491" s="243" t="s">
        <v>831</v>
      </c>
      <c r="AE491" s="229"/>
      <c r="AF491" s="229"/>
      <c r="AG491" s="229"/>
      <c r="AH491" s="238"/>
      <c r="AI491" s="240"/>
      <c r="AJ491" s="229"/>
      <c r="AK491" s="231"/>
      <c r="AL491" s="229"/>
      <c r="AM491" s="229"/>
      <c r="AN491" s="229"/>
      <c r="AO491" s="229"/>
      <c r="AP491" s="229"/>
      <c r="AQ491" s="229"/>
      <c r="AR491" s="229"/>
      <c r="AS491" s="229"/>
      <c r="AT491" s="229"/>
      <c r="AU491" s="229"/>
      <c r="AV491" s="229"/>
      <c r="AW491" s="5"/>
      <c r="AX491" s="5"/>
      <c r="AY491" s="5"/>
      <c r="AZ491" s="5"/>
      <c r="BA491" s="5"/>
      <c r="BB491" s="5"/>
      <c r="BC491" s="5"/>
      <c r="BD491" s="5"/>
      <c r="BE491" s="5"/>
      <c r="BF491" s="5"/>
      <c r="BG491" s="5"/>
    </row>
    <row r="492" customFormat="false" ht="1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212"/>
      <c r="V492" s="212"/>
      <c r="W492" s="212"/>
      <c r="X492" s="212"/>
      <c r="Y492" s="212"/>
      <c r="Z492" s="212"/>
      <c r="AA492" s="212"/>
      <c r="AB492" s="212"/>
      <c r="AC492" s="241" t="n">
        <v>251</v>
      </c>
      <c r="AD492" s="243" t="s">
        <v>832</v>
      </c>
      <c r="AE492" s="229"/>
      <c r="AF492" s="229"/>
      <c r="AG492" s="229"/>
      <c r="AH492" s="238"/>
      <c r="AI492" s="240"/>
      <c r="AJ492" s="229"/>
      <c r="AK492" s="231"/>
      <c r="AL492" s="229"/>
      <c r="AM492" s="229"/>
      <c r="AN492" s="229"/>
      <c r="AO492" s="229"/>
      <c r="AP492" s="229"/>
      <c r="AQ492" s="229"/>
      <c r="AR492" s="229"/>
      <c r="AS492" s="229"/>
      <c r="AT492" s="229"/>
      <c r="AU492" s="229"/>
      <c r="AV492" s="229"/>
      <c r="AW492" s="5"/>
      <c r="AX492" s="5"/>
      <c r="AY492" s="5"/>
      <c r="AZ492" s="5"/>
      <c r="BA492" s="5"/>
      <c r="BB492" s="5"/>
      <c r="BC492" s="5"/>
      <c r="BD492" s="5"/>
      <c r="BE492" s="5"/>
      <c r="BF492" s="5"/>
      <c r="BG492" s="5"/>
    </row>
    <row r="493" customFormat="false" ht="1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212"/>
      <c r="V493" s="212"/>
      <c r="W493" s="212"/>
      <c r="X493" s="212"/>
      <c r="Y493" s="212"/>
      <c r="Z493" s="212"/>
      <c r="AA493" s="212"/>
      <c r="AB493" s="212"/>
      <c r="AC493" s="241" t="n">
        <v>252</v>
      </c>
      <c r="AD493" s="243" t="s">
        <v>833</v>
      </c>
      <c r="AE493" s="229"/>
      <c r="AF493" s="229"/>
      <c r="AG493" s="229"/>
      <c r="AH493" s="238"/>
      <c r="AI493" s="240"/>
      <c r="AJ493" s="229"/>
      <c r="AK493" s="231"/>
      <c r="AL493" s="229"/>
      <c r="AM493" s="229"/>
      <c r="AN493" s="229"/>
      <c r="AO493" s="229"/>
      <c r="AP493" s="229"/>
      <c r="AQ493" s="229"/>
      <c r="AR493" s="229"/>
      <c r="AS493" s="229"/>
      <c r="AT493" s="229"/>
      <c r="AU493" s="229"/>
      <c r="AV493" s="229"/>
      <c r="AW493" s="5"/>
      <c r="AX493" s="5"/>
      <c r="AY493" s="5"/>
      <c r="AZ493" s="5"/>
      <c r="BA493" s="5"/>
      <c r="BB493" s="5"/>
      <c r="BC493" s="5"/>
      <c r="BD493" s="5"/>
      <c r="BE493" s="5"/>
      <c r="BF493" s="5"/>
      <c r="BG493" s="5"/>
    </row>
    <row r="494" customFormat="false" ht="1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212"/>
      <c r="V494" s="212"/>
      <c r="W494" s="212"/>
      <c r="X494" s="212"/>
      <c r="Y494" s="212"/>
      <c r="Z494" s="212"/>
      <c r="AA494" s="212"/>
      <c r="AB494" s="212"/>
      <c r="AC494" s="241" t="n">
        <v>253</v>
      </c>
      <c r="AD494" s="243" t="s">
        <v>834</v>
      </c>
      <c r="AE494" s="229"/>
      <c r="AF494" s="229"/>
      <c r="AG494" s="229"/>
      <c r="AH494" s="238"/>
      <c r="AI494" s="240"/>
      <c r="AJ494" s="229"/>
      <c r="AK494" s="231"/>
      <c r="AL494" s="229"/>
      <c r="AM494" s="229"/>
      <c r="AN494" s="229"/>
      <c r="AO494" s="229"/>
      <c r="AP494" s="229"/>
      <c r="AQ494" s="229"/>
      <c r="AR494" s="229"/>
      <c r="AS494" s="229"/>
      <c r="AT494" s="229"/>
      <c r="AU494" s="229"/>
      <c r="AV494" s="229"/>
      <c r="AW494" s="5"/>
      <c r="AX494" s="5"/>
      <c r="AY494" s="5"/>
      <c r="AZ494" s="5"/>
      <c r="BA494" s="5"/>
      <c r="BB494" s="5"/>
      <c r="BC494" s="5"/>
      <c r="BD494" s="5"/>
      <c r="BE494" s="5"/>
      <c r="BF494" s="5"/>
      <c r="BG494" s="5"/>
    </row>
    <row r="495" customFormat="false" ht="1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212"/>
      <c r="V495" s="212"/>
      <c r="W495" s="212"/>
      <c r="X495" s="212"/>
      <c r="Y495" s="212"/>
      <c r="Z495" s="212"/>
      <c r="AA495" s="212"/>
      <c r="AB495" s="212"/>
      <c r="AC495" s="241" t="n">
        <v>254</v>
      </c>
      <c r="AD495" s="243" t="s">
        <v>835</v>
      </c>
      <c r="AE495" s="229"/>
      <c r="AF495" s="229"/>
      <c r="AG495" s="229"/>
      <c r="AH495" s="238"/>
      <c r="AI495" s="240"/>
      <c r="AJ495" s="229"/>
      <c r="AK495" s="231"/>
      <c r="AL495" s="229"/>
      <c r="AM495" s="229"/>
      <c r="AN495" s="229"/>
      <c r="AO495" s="229"/>
      <c r="AP495" s="229"/>
      <c r="AQ495" s="229"/>
      <c r="AR495" s="229"/>
      <c r="AS495" s="229"/>
      <c r="AT495" s="229"/>
      <c r="AU495" s="229"/>
      <c r="AV495" s="229"/>
      <c r="AW495" s="5"/>
      <c r="AX495" s="5"/>
      <c r="AY495" s="5"/>
      <c r="AZ495" s="5"/>
      <c r="BA495" s="5"/>
      <c r="BB495" s="5"/>
      <c r="BC495" s="5"/>
      <c r="BD495" s="5"/>
      <c r="BE495" s="5"/>
      <c r="BF495" s="5"/>
      <c r="BG495" s="5"/>
    </row>
    <row r="496" customFormat="false" ht="1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212"/>
      <c r="V496" s="212"/>
      <c r="W496" s="212"/>
      <c r="X496" s="212"/>
      <c r="Y496" s="212"/>
      <c r="Z496" s="212"/>
      <c r="AA496" s="212"/>
      <c r="AB496" s="212"/>
      <c r="AC496" s="241" t="n">
        <v>255</v>
      </c>
      <c r="AD496" s="243" t="s">
        <v>836</v>
      </c>
      <c r="AE496" s="229"/>
      <c r="AF496" s="229"/>
      <c r="AG496" s="229"/>
      <c r="AH496" s="238"/>
      <c r="AI496" s="240"/>
      <c r="AJ496" s="229"/>
      <c r="AK496" s="231"/>
      <c r="AL496" s="229"/>
      <c r="AM496" s="229"/>
      <c r="AN496" s="229"/>
      <c r="AO496" s="229"/>
      <c r="AP496" s="229"/>
      <c r="AQ496" s="229"/>
      <c r="AR496" s="229"/>
      <c r="AS496" s="229"/>
      <c r="AT496" s="229"/>
      <c r="AU496" s="229"/>
      <c r="AV496" s="229"/>
      <c r="AW496" s="5"/>
      <c r="AX496" s="5"/>
      <c r="AY496" s="5"/>
      <c r="AZ496" s="5"/>
      <c r="BA496" s="5"/>
      <c r="BB496" s="5"/>
      <c r="BC496" s="5"/>
      <c r="BD496" s="5"/>
      <c r="BE496" s="5"/>
      <c r="BF496" s="5"/>
      <c r="BG496" s="5"/>
    </row>
    <row r="497" customFormat="false" ht="1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212"/>
      <c r="V497" s="212"/>
      <c r="W497" s="212"/>
      <c r="X497" s="212"/>
      <c r="Y497" s="212"/>
      <c r="Z497" s="212"/>
      <c r="AA497" s="212"/>
      <c r="AB497" s="212"/>
      <c r="AC497" s="241" t="n">
        <v>256</v>
      </c>
      <c r="AD497" s="243" t="s">
        <v>837</v>
      </c>
      <c r="AE497" s="229"/>
      <c r="AF497" s="229"/>
      <c r="AG497" s="229"/>
      <c r="AH497" s="238"/>
      <c r="AI497" s="240"/>
      <c r="AJ497" s="229"/>
      <c r="AK497" s="231"/>
      <c r="AL497" s="229"/>
      <c r="AM497" s="229"/>
      <c r="AN497" s="229"/>
      <c r="AO497" s="229"/>
      <c r="AP497" s="229"/>
      <c r="AQ497" s="229"/>
      <c r="AR497" s="229"/>
      <c r="AS497" s="229"/>
      <c r="AT497" s="229"/>
      <c r="AU497" s="229"/>
      <c r="AV497" s="229"/>
      <c r="AW497" s="5"/>
      <c r="AX497" s="5"/>
      <c r="AY497" s="5"/>
      <c r="AZ497" s="5"/>
      <c r="BA497" s="5"/>
      <c r="BB497" s="5"/>
      <c r="BC497" s="5"/>
      <c r="BD497" s="5"/>
      <c r="BE497" s="5"/>
      <c r="BF497" s="5"/>
      <c r="BG497" s="5"/>
    </row>
    <row r="498" customFormat="false" ht="1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212"/>
      <c r="V498" s="212"/>
      <c r="W498" s="212"/>
      <c r="X498" s="212"/>
      <c r="Y498" s="212"/>
      <c r="Z498" s="212"/>
      <c r="AA498" s="212"/>
      <c r="AB498" s="212"/>
      <c r="AC498" s="241" t="n">
        <v>257</v>
      </c>
      <c r="AD498" s="243" t="s">
        <v>838</v>
      </c>
      <c r="AE498" s="229"/>
      <c r="AF498" s="229"/>
      <c r="AG498" s="229"/>
      <c r="AH498" s="238"/>
      <c r="AI498" s="240"/>
      <c r="AJ498" s="229"/>
      <c r="AK498" s="231"/>
      <c r="AL498" s="229"/>
      <c r="AM498" s="229"/>
      <c r="AN498" s="229"/>
      <c r="AO498" s="229"/>
      <c r="AP498" s="229"/>
      <c r="AQ498" s="229"/>
      <c r="AR498" s="229"/>
      <c r="AS498" s="229"/>
      <c r="AT498" s="229"/>
      <c r="AU498" s="229"/>
      <c r="AV498" s="229"/>
      <c r="AW498" s="5"/>
      <c r="AX498" s="5"/>
      <c r="AY498" s="5"/>
      <c r="AZ498" s="5"/>
      <c r="BA498" s="5"/>
      <c r="BB498" s="5"/>
      <c r="BC498" s="5"/>
      <c r="BD498" s="5"/>
      <c r="BE498" s="5"/>
      <c r="BF498" s="5"/>
      <c r="BG498" s="5"/>
    </row>
    <row r="499" customFormat="false" ht="1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212"/>
      <c r="V499" s="212"/>
      <c r="W499" s="212"/>
      <c r="X499" s="212"/>
      <c r="Y499" s="212"/>
      <c r="Z499" s="212"/>
      <c r="AA499" s="212"/>
      <c r="AB499" s="212"/>
      <c r="AC499" s="241" t="n">
        <v>258</v>
      </c>
      <c r="AD499" s="243" t="s">
        <v>839</v>
      </c>
      <c r="AE499" s="229"/>
      <c r="AF499" s="229"/>
      <c r="AG499" s="229"/>
      <c r="AH499" s="238"/>
      <c r="AI499" s="240"/>
      <c r="AJ499" s="229"/>
      <c r="AK499" s="231"/>
      <c r="AL499" s="229"/>
      <c r="AM499" s="229"/>
      <c r="AN499" s="229"/>
      <c r="AO499" s="229"/>
      <c r="AP499" s="229"/>
      <c r="AQ499" s="229"/>
      <c r="AR499" s="229"/>
      <c r="AS499" s="229"/>
      <c r="AT499" s="229"/>
      <c r="AU499" s="229"/>
      <c r="AV499" s="229"/>
      <c r="AW499" s="5"/>
      <c r="AX499" s="5"/>
      <c r="AY499" s="5"/>
      <c r="AZ499" s="5"/>
      <c r="BA499" s="5"/>
      <c r="BB499" s="5"/>
      <c r="BC499" s="5"/>
      <c r="BD499" s="5"/>
      <c r="BE499" s="5"/>
      <c r="BF499" s="5"/>
      <c r="BG499" s="5"/>
    </row>
    <row r="500" customFormat="false" ht="1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212"/>
      <c r="V500" s="212"/>
      <c r="W500" s="212"/>
      <c r="X500" s="212"/>
      <c r="Y500" s="212"/>
      <c r="Z500" s="212"/>
      <c r="AA500" s="212"/>
      <c r="AB500" s="212"/>
      <c r="AC500" s="241" t="n">
        <v>259</v>
      </c>
      <c r="AD500" s="243" t="s">
        <v>840</v>
      </c>
      <c r="AE500" s="229"/>
      <c r="AF500" s="229"/>
      <c r="AG500" s="229"/>
      <c r="AH500" s="238"/>
      <c r="AI500" s="240"/>
      <c r="AJ500" s="229"/>
      <c r="AK500" s="231"/>
      <c r="AL500" s="229"/>
      <c r="AM500" s="229"/>
      <c r="AN500" s="229"/>
      <c r="AO500" s="229"/>
      <c r="AP500" s="229"/>
      <c r="AQ500" s="229"/>
      <c r="AR500" s="229"/>
      <c r="AS500" s="229"/>
      <c r="AT500" s="229"/>
      <c r="AU500" s="229"/>
      <c r="AV500" s="229"/>
      <c r="AW500" s="5"/>
      <c r="AX500" s="5"/>
      <c r="AY500" s="5"/>
      <c r="AZ500" s="5"/>
      <c r="BA500" s="5"/>
      <c r="BB500" s="5"/>
      <c r="BC500" s="5"/>
      <c r="BD500" s="5"/>
      <c r="BE500" s="5"/>
      <c r="BF500" s="5"/>
      <c r="BG500" s="5"/>
    </row>
    <row r="501" customFormat="false" ht="1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212"/>
      <c r="V501" s="212"/>
      <c r="W501" s="212"/>
      <c r="X501" s="212"/>
      <c r="Y501" s="212"/>
      <c r="Z501" s="212"/>
      <c r="AA501" s="212"/>
      <c r="AB501" s="212"/>
      <c r="AC501" s="241" t="n">
        <v>260</v>
      </c>
      <c r="AD501" s="243" t="s">
        <v>841</v>
      </c>
      <c r="AE501" s="229"/>
      <c r="AF501" s="229"/>
      <c r="AG501" s="229"/>
      <c r="AH501" s="238"/>
      <c r="AI501" s="240"/>
      <c r="AJ501" s="229"/>
      <c r="AK501" s="231"/>
      <c r="AL501" s="229"/>
      <c r="AM501" s="229"/>
      <c r="AN501" s="229"/>
      <c r="AO501" s="229"/>
      <c r="AP501" s="229"/>
      <c r="AQ501" s="229"/>
      <c r="AR501" s="229"/>
      <c r="AS501" s="229"/>
      <c r="AT501" s="229"/>
      <c r="AU501" s="229"/>
      <c r="AV501" s="229"/>
      <c r="AW501" s="5"/>
      <c r="AX501" s="5"/>
      <c r="AY501" s="5"/>
      <c r="AZ501" s="5"/>
      <c r="BA501" s="5"/>
      <c r="BB501" s="5"/>
      <c r="BC501" s="5"/>
      <c r="BD501" s="5"/>
      <c r="BE501" s="5"/>
      <c r="BF501" s="5"/>
      <c r="BG501" s="5"/>
    </row>
    <row r="502" customFormat="false" ht="1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212"/>
      <c r="V502" s="212"/>
      <c r="W502" s="212"/>
      <c r="X502" s="212"/>
      <c r="Y502" s="212"/>
      <c r="Z502" s="212"/>
      <c r="AA502" s="212"/>
      <c r="AB502" s="212"/>
      <c r="AC502" s="241" t="n">
        <v>261</v>
      </c>
      <c r="AD502" s="243" t="s">
        <v>842</v>
      </c>
      <c r="AE502" s="229"/>
      <c r="AF502" s="229"/>
      <c r="AG502" s="229"/>
      <c r="AH502" s="238"/>
      <c r="AI502" s="240"/>
      <c r="AJ502" s="229"/>
      <c r="AK502" s="231"/>
      <c r="AL502" s="229"/>
      <c r="AM502" s="229"/>
      <c r="AN502" s="229"/>
      <c r="AO502" s="229"/>
      <c r="AP502" s="229"/>
      <c r="AQ502" s="229"/>
      <c r="AR502" s="229"/>
      <c r="AS502" s="229"/>
      <c r="AT502" s="229"/>
      <c r="AU502" s="229"/>
      <c r="AV502" s="229"/>
      <c r="AW502" s="5"/>
      <c r="AX502" s="5"/>
      <c r="AY502" s="5"/>
      <c r="AZ502" s="5"/>
      <c r="BA502" s="5"/>
      <c r="BB502" s="5"/>
      <c r="BC502" s="5"/>
      <c r="BD502" s="5"/>
      <c r="BE502" s="5"/>
      <c r="BF502" s="5"/>
      <c r="BG502" s="5"/>
    </row>
    <row r="503" customFormat="false" ht="1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212"/>
      <c r="V503" s="212"/>
      <c r="W503" s="212"/>
      <c r="X503" s="212"/>
      <c r="Y503" s="212"/>
      <c r="Z503" s="212"/>
      <c r="AA503" s="212"/>
      <c r="AB503" s="212"/>
      <c r="AC503" s="241" t="n">
        <v>262</v>
      </c>
      <c r="AD503" s="243" t="s">
        <v>843</v>
      </c>
      <c r="AE503" s="229"/>
      <c r="AF503" s="229"/>
      <c r="AG503" s="229"/>
      <c r="AH503" s="238"/>
      <c r="AI503" s="240"/>
      <c r="AJ503" s="229"/>
      <c r="AK503" s="231"/>
      <c r="AL503" s="229"/>
      <c r="AM503" s="229"/>
      <c r="AN503" s="229"/>
      <c r="AO503" s="229"/>
      <c r="AP503" s="229"/>
      <c r="AQ503" s="229"/>
      <c r="AR503" s="229"/>
      <c r="AS503" s="229"/>
      <c r="AT503" s="229"/>
      <c r="AU503" s="229"/>
      <c r="AV503" s="229"/>
      <c r="AW503" s="5"/>
      <c r="AX503" s="5"/>
      <c r="AY503" s="5"/>
      <c r="AZ503" s="5"/>
      <c r="BA503" s="5"/>
      <c r="BB503" s="5"/>
      <c r="BC503" s="5"/>
      <c r="BD503" s="5"/>
      <c r="BE503" s="5"/>
      <c r="BF503" s="5"/>
      <c r="BG503" s="5"/>
    </row>
    <row r="504" customFormat="false" ht="1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212"/>
      <c r="V504" s="212"/>
      <c r="W504" s="212"/>
      <c r="X504" s="212"/>
      <c r="Y504" s="212"/>
      <c r="Z504" s="212"/>
      <c r="AA504" s="212"/>
      <c r="AB504" s="212"/>
      <c r="AC504" s="241" t="n">
        <v>263</v>
      </c>
      <c r="AD504" s="243" t="s">
        <v>844</v>
      </c>
      <c r="AE504" s="229"/>
      <c r="AF504" s="229"/>
      <c r="AG504" s="229"/>
      <c r="AH504" s="238"/>
      <c r="AI504" s="240"/>
      <c r="AJ504" s="229"/>
      <c r="AK504" s="231"/>
      <c r="AL504" s="229"/>
      <c r="AM504" s="229"/>
      <c r="AN504" s="229"/>
      <c r="AO504" s="229"/>
      <c r="AP504" s="229"/>
      <c r="AQ504" s="229"/>
      <c r="AR504" s="229"/>
      <c r="AS504" s="229"/>
      <c r="AT504" s="229"/>
      <c r="AU504" s="229"/>
      <c r="AV504" s="229"/>
      <c r="AW504" s="5"/>
      <c r="AX504" s="5"/>
      <c r="AY504" s="5"/>
      <c r="AZ504" s="5"/>
      <c r="BA504" s="5"/>
      <c r="BB504" s="5"/>
      <c r="BC504" s="5"/>
      <c r="BD504" s="5"/>
      <c r="BE504" s="5"/>
      <c r="BF504" s="5"/>
      <c r="BG504" s="5"/>
    </row>
    <row r="505" customFormat="false" ht="1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212"/>
      <c r="V505" s="212"/>
      <c r="W505" s="212"/>
      <c r="X505" s="212"/>
      <c r="Y505" s="212"/>
      <c r="Z505" s="212"/>
      <c r="AA505" s="212"/>
      <c r="AB505" s="212"/>
      <c r="AC505" s="241" t="n">
        <v>264</v>
      </c>
      <c r="AD505" s="243" t="s">
        <v>845</v>
      </c>
      <c r="AE505" s="229"/>
      <c r="AF505" s="229"/>
      <c r="AG505" s="229"/>
      <c r="AH505" s="238"/>
      <c r="AI505" s="240"/>
      <c r="AJ505" s="229"/>
      <c r="AK505" s="231"/>
      <c r="AL505" s="229"/>
      <c r="AM505" s="229"/>
      <c r="AN505" s="229"/>
      <c r="AO505" s="229"/>
      <c r="AP505" s="229"/>
      <c r="AQ505" s="229"/>
      <c r="AR505" s="229"/>
      <c r="AS505" s="229"/>
      <c r="AT505" s="229"/>
      <c r="AU505" s="229"/>
      <c r="AV505" s="229"/>
      <c r="AW505" s="5"/>
      <c r="AX505" s="5"/>
      <c r="AY505" s="5"/>
      <c r="AZ505" s="5"/>
      <c r="BA505" s="5"/>
      <c r="BB505" s="5"/>
      <c r="BC505" s="5"/>
      <c r="BD505" s="5"/>
      <c r="BE505" s="5"/>
      <c r="BF505" s="5"/>
      <c r="BG505" s="5"/>
    </row>
    <row r="506" customFormat="false" ht="1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212"/>
      <c r="V506" s="212"/>
      <c r="W506" s="212"/>
      <c r="X506" s="212"/>
      <c r="Y506" s="212"/>
      <c r="Z506" s="212"/>
      <c r="AA506" s="212"/>
      <c r="AB506" s="212"/>
      <c r="AC506" s="241" t="n">
        <v>265</v>
      </c>
      <c r="AD506" s="243" t="s">
        <v>846</v>
      </c>
      <c r="AE506" s="229"/>
      <c r="AF506" s="229"/>
      <c r="AG506" s="229"/>
      <c r="AH506" s="238"/>
      <c r="AI506" s="240"/>
      <c r="AJ506" s="229"/>
      <c r="AK506" s="231"/>
      <c r="AL506" s="229"/>
      <c r="AM506" s="229"/>
      <c r="AN506" s="229"/>
      <c r="AO506" s="229"/>
      <c r="AP506" s="229"/>
      <c r="AQ506" s="229"/>
      <c r="AR506" s="229"/>
      <c r="AS506" s="229"/>
      <c r="AT506" s="229"/>
      <c r="AU506" s="229"/>
      <c r="AV506" s="229"/>
      <c r="AW506" s="5"/>
      <c r="AX506" s="5"/>
      <c r="AY506" s="5"/>
      <c r="AZ506" s="5"/>
      <c r="BA506" s="5"/>
      <c r="BB506" s="5"/>
      <c r="BC506" s="5"/>
      <c r="BD506" s="5"/>
      <c r="BE506" s="5"/>
      <c r="BF506" s="5"/>
      <c r="BG506" s="5"/>
    </row>
    <row r="507" customFormat="false" ht="1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212"/>
      <c r="V507" s="212"/>
      <c r="W507" s="212"/>
      <c r="X507" s="212"/>
      <c r="Y507" s="212"/>
      <c r="Z507" s="212"/>
      <c r="AA507" s="212"/>
      <c r="AB507" s="212"/>
      <c r="AC507" s="241" t="n">
        <v>266</v>
      </c>
      <c r="AD507" s="243" t="s">
        <v>847</v>
      </c>
      <c r="AE507" s="229"/>
      <c r="AF507" s="229"/>
      <c r="AG507" s="229"/>
      <c r="AH507" s="238"/>
      <c r="AI507" s="240"/>
      <c r="AJ507" s="229"/>
      <c r="AK507" s="231"/>
      <c r="AL507" s="229"/>
      <c r="AM507" s="229"/>
      <c r="AN507" s="229"/>
      <c r="AO507" s="229"/>
      <c r="AP507" s="229"/>
      <c r="AQ507" s="229"/>
      <c r="AR507" s="229"/>
      <c r="AS507" s="229"/>
      <c r="AT507" s="229"/>
      <c r="AU507" s="229"/>
      <c r="AV507" s="229"/>
      <c r="AW507" s="5"/>
      <c r="AX507" s="5"/>
      <c r="AY507" s="5"/>
      <c r="AZ507" s="5"/>
      <c r="BA507" s="5"/>
      <c r="BB507" s="5"/>
      <c r="BC507" s="5"/>
      <c r="BD507" s="5"/>
      <c r="BE507" s="5"/>
      <c r="BF507" s="5"/>
      <c r="BG507" s="5"/>
    </row>
    <row r="508" customFormat="false" ht="1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212"/>
      <c r="V508" s="212"/>
      <c r="W508" s="212"/>
      <c r="X508" s="212"/>
      <c r="Y508" s="212"/>
      <c r="Z508" s="212"/>
      <c r="AA508" s="212"/>
      <c r="AB508" s="212"/>
      <c r="AC508" s="241" t="n">
        <v>267</v>
      </c>
      <c r="AD508" s="243" t="s">
        <v>848</v>
      </c>
      <c r="AE508" s="229"/>
      <c r="AF508" s="229"/>
      <c r="AG508" s="229"/>
      <c r="AH508" s="238"/>
      <c r="AI508" s="240"/>
      <c r="AJ508" s="229"/>
      <c r="AK508" s="231"/>
      <c r="AL508" s="229"/>
      <c r="AM508" s="229"/>
      <c r="AN508" s="229"/>
      <c r="AO508" s="229"/>
      <c r="AP508" s="229"/>
      <c r="AQ508" s="229"/>
      <c r="AR508" s="229"/>
      <c r="AS508" s="229"/>
      <c r="AT508" s="229"/>
      <c r="AU508" s="229"/>
      <c r="AV508" s="229"/>
      <c r="AW508" s="5"/>
      <c r="AX508" s="5"/>
      <c r="AY508" s="5"/>
      <c r="AZ508" s="5"/>
      <c r="BA508" s="5"/>
      <c r="BB508" s="5"/>
      <c r="BC508" s="5"/>
      <c r="BD508" s="5"/>
      <c r="BE508" s="5"/>
      <c r="BF508" s="5"/>
      <c r="BG508" s="5"/>
    </row>
    <row r="509" customFormat="false" ht="1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212"/>
      <c r="V509" s="212"/>
      <c r="W509" s="212"/>
      <c r="X509" s="212"/>
      <c r="Y509" s="212"/>
      <c r="Z509" s="212"/>
      <c r="AA509" s="212"/>
      <c r="AB509" s="212"/>
      <c r="AC509" s="241" t="n">
        <v>268</v>
      </c>
      <c r="AD509" s="243" t="s">
        <v>849</v>
      </c>
      <c r="AE509" s="229"/>
      <c r="AF509" s="229"/>
      <c r="AG509" s="229"/>
      <c r="AH509" s="238"/>
      <c r="AI509" s="240"/>
      <c r="AJ509" s="229"/>
      <c r="AK509" s="231"/>
      <c r="AL509" s="229"/>
      <c r="AM509" s="229"/>
      <c r="AN509" s="229"/>
      <c r="AO509" s="229"/>
      <c r="AP509" s="229"/>
      <c r="AQ509" s="229"/>
      <c r="AR509" s="229"/>
      <c r="AS509" s="229"/>
      <c r="AT509" s="229"/>
      <c r="AU509" s="229"/>
      <c r="AV509" s="229"/>
      <c r="AW509" s="5"/>
      <c r="AX509" s="5"/>
      <c r="AY509" s="5"/>
      <c r="AZ509" s="5"/>
      <c r="BA509" s="5"/>
      <c r="BB509" s="5"/>
      <c r="BC509" s="5"/>
      <c r="BD509" s="5"/>
      <c r="BE509" s="5"/>
      <c r="BF509" s="5"/>
      <c r="BG509" s="5"/>
    </row>
    <row r="510" customFormat="false" ht="1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212"/>
      <c r="V510" s="212"/>
      <c r="W510" s="212"/>
      <c r="X510" s="212"/>
      <c r="Y510" s="212"/>
      <c r="Z510" s="212"/>
      <c r="AA510" s="212"/>
      <c r="AB510" s="212"/>
      <c r="AC510" s="241" t="n">
        <v>269</v>
      </c>
      <c r="AD510" s="243" t="s">
        <v>850</v>
      </c>
      <c r="AE510" s="229"/>
      <c r="AF510" s="229"/>
      <c r="AG510" s="229"/>
      <c r="AH510" s="238"/>
      <c r="AI510" s="240"/>
      <c r="AJ510" s="229"/>
      <c r="AK510" s="231"/>
      <c r="AL510" s="229"/>
      <c r="AM510" s="229"/>
      <c r="AN510" s="229"/>
      <c r="AO510" s="229"/>
      <c r="AP510" s="229"/>
      <c r="AQ510" s="229"/>
      <c r="AR510" s="229"/>
      <c r="AS510" s="229"/>
      <c r="AT510" s="229"/>
      <c r="AU510" s="229"/>
      <c r="AV510" s="229"/>
      <c r="AW510" s="5"/>
      <c r="AX510" s="5"/>
      <c r="AY510" s="5"/>
      <c r="AZ510" s="5"/>
      <c r="BA510" s="5"/>
      <c r="BB510" s="5"/>
      <c r="BC510" s="5"/>
      <c r="BD510" s="5"/>
      <c r="BE510" s="5"/>
      <c r="BF510" s="5"/>
      <c r="BG510" s="5"/>
    </row>
    <row r="511" customFormat="false" ht="1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212"/>
      <c r="V511" s="212"/>
      <c r="W511" s="212"/>
      <c r="X511" s="212"/>
      <c r="Y511" s="212"/>
      <c r="Z511" s="212"/>
      <c r="AA511" s="212"/>
      <c r="AB511" s="212"/>
      <c r="AC511" s="241" t="n">
        <v>270</v>
      </c>
      <c r="AD511" s="243" t="s">
        <v>851</v>
      </c>
      <c r="AE511" s="229"/>
      <c r="AF511" s="229"/>
      <c r="AG511" s="229"/>
      <c r="AH511" s="238"/>
      <c r="AI511" s="240"/>
      <c r="AJ511" s="229"/>
      <c r="AK511" s="231"/>
      <c r="AL511" s="229"/>
      <c r="AM511" s="229"/>
      <c r="AN511" s="229"/>
      <c r="AO511" s="229"/>
      <c r="AP511" s="229"/>
      <c r="AQ511" s="229"/>
      <c r="AR511" s="229"/>
      <c r="AS511" s="229"/>
      <c r="AT511" s="229"/>
      <c r="AU511" s="229"/>
      <c r="AV511" s="229"/>
      <c r="AW511" s="5"/>
      <c r="AX511" s="5"/>
      <c r="AY511" s="5"/>
      <c r="AZ511" s="5"/>
      <c r="BA511" s="5"/>
      <c r="BB511" s="5"/>
      <c r="BC511" s="5"/>
      <c r="BD511" s="5"/>
      <c r="BE511" s="5"/>
      <c r="BF511" s="5"/>
      <c r="BG511" s="5"/>
    </row>
    <row r="512" customFormat="false" ht="1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212"/>
      <c r="V512" s="212"/>
      <c r="W512" s="212"/>
      <c r="X512" s="212"/>
      <c r="Y512" s="212"/>
      <c r="Z512" s="212"/>
      <c r="AA512" s="212"/>
      <c r="AB512" s="212"/>
      <c r="AC512" s="241" t="n">
        <v>271</v>
      </c>
      <c r="AD512" s="243" t="s">
        <v>852</v>
      </c>
      <c r="AE512" s="229"/>
      <c r="AF512" s="229"/>
      <c r="AG512" s="229"/>
      <c r="AH512" s="238"/>
      <c r="AI512" s="240"/>
      <c r="AJ512" s="229"/>
      <c r="AK512" s="231"/>
      <c r="AL512" s="229"/>
      <c r="AM512" s="229"/>
      <c r="AN512" s="229"/>
      <c r="AO512" s="229"/>
      <c r="AP512" s="229"/>
      <c r="AQ512" s="229"/>
      <c r="AR512" s="229"/>
      <c r="AS512" s="229"/>
      <c r="AT512" s="229"/>
      <c r="AU512" s="229"/>
      <c r="AV512" s="229"/>
      <c r="AW512" s="5"/>
      <c r="AX512" s="5"/>
      <c r="AY512" s="5"/>
      <c r="AZ512" s="5"/>
      <c r="BA512" s="5"/>
      <c r="BB512" s="5"/>
      <c r="BC512" s="5"/>
      <c r="BD512" s="5"/>
      <c r="BE512" s="5"/>
      <c r="BF512" s="5"/>
      <c r="BG512" s="5"/>
    </row>
    <row r="513" customFormat="false" ht="1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212"/>
      <c r="V513" s="212"/>
      <c r="W513" s="212"/>
      <c r="X513" s="212"/>
      <c r="Y513" s="212"/>
      <c r="Z513" s="212"/>
      <c r="AA513" s="212"/>
      <c r="AB513" s="212"/>
      <c r="AC513" s="241" t="n">
        <v>272</v>
      </c>
      <c r="AD513" s="243" t="s">
        <v>853</v>
      </c>
      <c r="AE513" s="229"/>
      <c r="AF513" s="229"/>
      <c r="AG513" s="229"/>
      <c r="AH513" s="238"/>
      <c r="AI513" s="240"/>
      <c r="AJ513" s="229"/>
      <c r="AK513" s="231"/>
      <c r="AL513" s="229"/>
      <c r="AM513" s="229"/>
      <c r="AN513" s="229"/>
      <c r="AO513" s="229"/>
      <c r="AP513" s="229"/>
      <c r="AQ513" s="229"/>
      <c r="AR513" s="229"/>
      <c r="AS513" s="229"/>
      <c r="AT513" s="229"/>
      <c r="AU513" s="229"/>
      <c r="AV513" s="229"/>
      <c r="AW513" s="5"/>
      <c r="AX513" s="5"/>
      <c r="AY513" s="5"/>
      <c r="AZ513" s="5"/>
      <c r="BA513" s="5"/>
      <c r="BB513" s="5"/>
      <c r="BC513" s="5"/>
      <c r="BD513" s="5"/>
      <c r="BE513" s="5"/>
      <c r="BF513" s="5"/>
      <c r="BG513" s="5"/>
    </row>
    <row r="514" customFormat="false" ht="1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212"/>
      <c r="V514" s="212"/>
      <c r="W514" s="212"/>
      <c r="X514" s="212"/>
      <c r="Y514" s="212"/>
      <c r="Z514" s="212"/>
      <c r="AA514" s="212"/>
      <c r="AB514" s="212"/>
      <c r="AC514" s="241" t="n">
        <v>273</v>
      </c>
      <c r="AD514" s="243" t="s">
        <v>854</v>
      </c>
      <c r="AE514" s="229"/>
      <c r="AF514" s="229"/>
      <c r="AG514" s="229"/>
      <c r="AH514" s="238"/>
      <c r="AI514" s="240"/>
      <c r="AJ514" s="229"/>
      <c r="AK514" s="231"/>
      <c r="AL514" s="229"/>
      <c r="AM514" s="229"/>
      <c r="AN514" s="229"/>
      <c r="AO514" s="229"/>
      <c r="AP514" s="229"/>
      <c r="AQ514" s="229"/>
      <c r="AR514" s="229"/>
      <c r="AS514" s="229"/>
      <c r="AT514" s="229"/>
      <c r="AU514" s="229"/>
      <c r="AV514" s="229"/>
      <c r="AW514" s="5"/>
      <c r="AX514" s="5"/>
      <c r="AY514" s="5"/>
      <c r="AZ514" s="5"/>
      <c r="BA514" s="5"/>
      <c r="BB514" s="5"/>
      <c r="BC514" s="5"/>
      <c r="BD514" s="5"/>
      <c r="BE514" s="5"/>
      <c r="BF514" s="5"/>
      <c r="BG514" s="5"/>
    </row>
    <row r="515" customFormat="false" ht="1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212"/>
      <c r="V515" s="212"/>
      <c r="W515" s="212"/>
      <c r="X515" s="212"/>
      <c r="Y515" s="212"/>
      <c r="Z515" s="212"/>
      <c r="AA515" s="212"/>
      <c r="AB515" s="212"/>
      <c r="AC515" s="241" t="n">
        <v>274</v>
      </c>
      <c r="AD515" s="243" t="s">
        <v>855</v>
      </c>
      <c r="AE515" s="229"/>
      <c r="AF515" s="229"/>
      <c r="AG515" s="229"/>
      <c r="AH515" s="238"/>
      <c r="AI515" s="240"/>
      <c r="AJ515" s="229"/>
      <c r="AK515" s="231"/>
      <c r="AL515" s="229"/>
      <c r="AM515" s="229"/>
      <c r="AN515" s="229"/>
      <c r="AO515" s="229"/>
      <c r="AP515" s="229"/>
      <c r="AQ515" s="229"/>
      <c r="AR515" s="229"/>
      <c r="AS515" s="229"/>
      <c r="AT515" s="229"/>
      <c r="AU515" s="229"/>
      <c r="AV515" s="229"/>
      <c r="AW515" s="5"/>
      <c r="AX515" s="5"/>
      <c r="AY515" s="5"/>
      <c r="AZ515" s="5"/>
      <c r="BA515" s="5"/>
      <c r="BB515" s="5"/>
      <c r="BC515" s="5"/>
      <c r="BD515" s="5"/>
      <c r="BE515" s="5"/>
      <c r="BF515" s="5"/>
      <c r="BG515" s="5"/>
    </row>
    <row r="516" customFormat="false" ht="1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212"/>
      <c r="V516" s="212"/>
      <c r="W516" s="212"/>
      <c r="X516" s="212"/>
      <c r="Y516" s="212"/>
      <c r="Z516" s="212"/>
      <c r="AA516" s="212"/>
      <c r="AB516" s="212"/>
      <c r="AC516" s="241" t="n">
        <v>275</v>
      </c>
      <c r="AD516" s="243" t="s">
        <v>856</v>
      </c>
      <c r="AE516" s="229"/>
      <c r="AF516" s="229"/>
      <c r="AG516" s="229"/>
      <c r="AH516" s="238"/>
      <c r="AI516" s="240"/>
      <c r="AJ516" s="229"/>
      <c r="AK516" s="231"/>
      <c r="AL516" s="229"/>
      <c r="AM516" s="229"/>
      <c r="AN516" s="229"/>
      <c r="AO516" s="229"/>
      <c r="AP516" s="229"/>
      <c r="AQ516" s="229"/>
      <c r="AR516" s="229"/>
      <c r="AS516" s="229"/>
      <c r="AT516" s="229"/>
      <c r="AU516" s="229"/>
      <c r="AV516" s="229"/>
      <c r="AW516" s="5"/>
      <c r="AX516" s="5"/>
      <c r="AY516" s="5"/>
      <c r="AZ516" s="5"/>
      <c r="BA516" s="5"/>
      <c r="BB516" s="5"/>
      <c r="BC516" s="5"/>
      <c r="BD516" s="5"/>
      <c r="BE516" s="5"/>
      <c r="BF516" s="5"/>
      <c r="BG516" s="5"/>
    </row>
    <row r="517" customFormat="false" ht="1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212"/>
      <c r="V517" s="212"/>
      <c r="W517" s="212"/>
      <c r="X517" s="212"/>
      <c r="Y517" s="212"/>
      <c r="Z517" s="212"/>
      <c r="AA517" s="212"/>
      <c r="AB517" s="212"/>
      <c r="AC517" s="241" t="n">
        <v>276</v>
      </c>
      <c r="AD517" s="243" t="s">
        <v>857</v>
      </c>
      <c r="AE517" s="229"/>
      <c r="AF517" s="229"/>
      <c r="AG517" s="229"/>
      <c r="AH517" s="238"/>
      <c r="AI517" s="240"/>
      <c r="AJ517" s="229"/>
      <c r="AK517" s="231"/>
      <c r="AL517" s="229"/>
      <c r="AM517" s="229"/>
      <c r="AN517" s="229"/>
      <c r="AO517" s="229"/>
      <c r="AP517" s="229"/>
      <c r="AQ517" s="229"/>
      <c r="AR517" s="229"/>
      <c r="AS517" s="229"/>
      <c r="AT517" s="229"/>
      <c r="AU517" s="229"/>
      <c r="AV517" s="229"/>
      <c r="AW517" s="5"/>
      <c r="AX517" s="5"/>
      <c r="AY517" s="5"/>
      <c r="AZ517" s="5"/>
      <c r="BA517" s="5"/>
      <c r="BB517" s="5"/>
      <c r="BC517" s="5"/>
      <c r="BD517" s="5"/>
      <c r="BE517" s="5"/>
      <c r="BF517" s="5"/>
      <c r="BG517" s="5"/>
    </row>
    <row r="518" customFormat="false" ht="1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212"/>
      <c r="V518" s="212"/>
      <c r="W518" s="212"/>
      <c r="X518" s="212"/>
      <c r="Y518" s="212"/>
      <c r="Z518" s="212"/>
      <c r="AA518" s="212"/>
      <c r="AB518" s="212"/>
      <c r="AC518" s="241" t="n">
        <v>277</v>
      </c>
      <c r="AD518" s="243" t="s">
        <v>858</v>
      </c>
      <c r="AE518" s="229"/>
      <c r="AF518" s="229"/>
      <c r="AG518" s="229"/>
      <c r="AH518" s="238"/>
      <c r="AI518" s="240"/>
      <c r="AJ518" s="229"/>
      <c r="AK518" s="231"/>
      <c r="AL518" s="229"/>
      <c r="AM518" s="229"/>
      <c r="AN518" s="229"/>
      <c r="AO518" s="229"/>
      <c r="AP518" s="229"/>
      <c r="AQ518" s="229"/>
      <c r="AR518" s="229"/>
      <c r="AS518" s="229"/>
      <c r="AT518" s="229"/>
      <c r="AU518" s="229"/>
      <c r="AV518" s="229"/>
      <c r="AW518" s="5"/>
      <c r="AX518" s="5"/>
      <c r="AY518" s="5"/>
      <c r="AZ518" s="5"/>
      <c r="BA518" s="5"/>
      <c r="BB518" s="5"/>
      <c r="BC518" s="5"/>
      <c r="BD518" s="5"/>
      <c r="BE518" s="5"/>
      <c r="BF518" s="5"/>
      <c r="BG518" s="5"/>
    </row>
    <row r="519" customFormat="false" ht="1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212"/>
      <c r="V519" s="212"/>
      <c r="W519" s="212"/>
      <c r="X519" s="212"/>
      <c r="Y519" s="212"/>
      <c r="Z519" s="212"/>
      <c r="AA519" s="212"/>
      <c r="AB519" s="212"/>
      <c r="AC519" s="241" t="n">
        <v>278</v>
      </c>
      <c r="AD519" s="243" t="s">
        <v>859</v>
      </c>
      <c r="AE519" s="229"/>
      <c r="AF519" s="229"/>
      <c r="AG519" s="229"/>
      <c r="AH519" s="238"/>
      <c r="AI519" s="240"/>
      <c r="AJ519" s="229"/>
      <c r="AK519" s="231"/>
      <c r="AL519" s="229"/>
      <c r="AM519" s="229"/>
      <c r="AN519" s="229"/>
      <c r="AO519" s="229"/>
      <c r="AP519" s="229"/>
      <c r="AQ519" s="229"/>
      <c r="AR519" s="229"/>
      <c r="AS519" s="229"/>
      <c r="AT519" s="229"/>
      <c r="AU519" s="229"/>
      <c r="AV519" s="229"/>
      <c r="AW519" s="5"/>
      <c r="AX519" s="5"/>
      <c r="AY519" s="5"/>
      <c r="AZ519" s="5"/>
      <c r="BA519" s="5"/>
      <c r="BB519" s="5"/>
      <c r="BC519" s="5"/>
      <c r="BD519" s="5"/>
      <c r="BE519" s="5"/>
      <c r="BF519" s="5"/>
      <c r="BG519" s="5"/>
    </row>
    <row r="520" customFormat="false" ht="1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212"/>
      <c r="V520" s="212"/>
      <c r="W520" s="212"/>
      <c r="X520" s="212"/>
      <c r="Y520" s="212"/>
      <c r="Z520" s="212"/>
      <c r="AA520" s="212"/>
      <c r="AB520" s="212"/>
      <c r="AC520" s="241" t="n">
        <v>279</v>
      </c>
      <c r="AD520" s="243" t="s">
        <v>860</v>
      </c>
      <c r="AE520" s="229"/>
      <c r="AF520" s="229"/>
      <c r="AG520" s="229"/>
      <c r="AH520" s="238"/>
      <c r="AI520" s="240"/>
      <c r="AJ520" s="229"/>
      <c r="AK520" s="231"/>
      <c r="AL520" s="229"/>
      <c r="AM520" s="229"/>
      <c r="AN520" s="229"/>
      <c r="AO520" s="229"/>
      <c r="AP520" s="229"/>
      <c r="AQ520" s="229"/>
      <c r="AR520" s="229"/>
      <c r="AS520" s="229"/>
      <c r="AT520" s="229"/>
      <c r="AU520" s="229"/>
      <c r="AV520" s="229"/>
      <c r="AW520" s="5"/>
      <c r="AX520" s="5"/>
      <c r="AY520" s="5"/>
      <c r="AZ520" s="5"/>
      <c r="BA520" s="5"/>
      <c r="BB520" s="5"/>
      <c r="BC520" s="5"/>
      <c r="BD520" s="5"/>
      <c r="BE520" s="5"/>
      <c r="BF520" s="5"/>
      <c r="BG520" s="5"/>
    </row>
    <row r="521" customFormat="false" ht="1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212"/>
      <c r="V521" s="212"/>
      <c r="W521" s="212"/>
      <c r="X521" s="212"/>
      <c r="Y521" s="212"/>
      <c r="Z521" s="212"/>
      <c r="AA521" s="212"/>
      <c r="AB521" s="212"/>
      <c r="AC521" s="241" t="n">
        <v>280</v>
      </c>
      <c r="AD521" s="243" t="s">
        <v>861</v>
      </c>
      <c r="AE521" s="229"/>
      <c r="AF521" s="229"/>
      <c r="AG521" s="229"/>
      <c r="AH521" s="238"/>
      <c r="AI521" s="240"/>
      <c r="AJ521" s="229"/>
      <c r="AK521" s="231"/>
      <c r="AL521" s="229"/>
      <c r="AM521" s="229"/>
      <c r="AN521" s="229"/>
      <c r="AO521" s="229"/>
      <c r="AP521" s="229"/>
      <c r="AQ521" s="229"/>
      <c r="AR521" s="229"/>
      <c r="AS521" s="229"/>
      <c r="AT521" s="229"/>
      <c r="AU521" s="229"/>
      <c r="AV521" s="229"/>
      <c r="AW521" s="5"/>
      <c r="AX521" s="5"/>
      <c r="AY521" s="5"/>
      <c r="AZ521" s="5"/>
      <c r="BA521" s="5"/>
      <c r="BB521" s="5"/>
      <c r="BC521" s="5"/>
      <c r="BD521" s="5"/>
      <c r="BE521" s="5"/>
      <c r="BF521" s="5"/>
      <c r="BG521" s="5"/>
    </row>
    <row r="522" customFormat="false" ht="1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212"/>
      <c r="V522" s="212"/>
      <c r="W522" s="212"/>
      <c r="X522" s="212"/>
      <c r="Y522" s="212"/>
      <c r="Z522" s="212"/>
      <c r="AA522" s="212"/>
      <c r="AB522" s="212"/>
      <c r="AC522" s="241" t="n">
        <v>281</v>
      </c>
      <c r="AD522" s="243" t="s">
        <v>862</v>
      </c>
      <c r="AE522" s="229"/>
      <c r="AF522" s="229"/>
      <c r="AG522" s="229"/>
      <c r="AH522" s="238"/>
      <c r="AI522" s="240"/>
      <c r="AJ522" s="229"/>
      <c r="AK522" s="231"/>
      <c r="AL522" s="229"/>
      <c r="AM522" s="229"/>
      <c r="AN522" s="229"/>
      <c r="AO522" s="229"/>
      <c r="AP522" s="229"/>
      <c r="AQ522" s="229"/>
      <c r="AR522" s="229"/>
      <c r="AS522" s="229"/>
      <c r="AT522" s="229"/>
      <c r="AU522" s="229"/>
      <c r="AV522" s="229"/>
      <c r="AW522" s="5"/>
      <c r="AX522" s="5"/>
      <c r="AY522" s="5"/>
      <c r="AZ522" s="5"/>
      <c r="BA522" s="5"/>
      <c r="BB522" s="5"/>
      <c r="BC522" s="5"/>
      <c r="BD522" s="5"/>
      <c r="BE522" s="5"/>
      <c r="BF522" s="5"/>
      <c r="BG522" s="5"/>
    </row>
    <row r="523" customFormat="false" ht="1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212"/>
      <c r="V523" s="212"/>
      <c r="W523" s="212"/>
      <c r="X523" s="212"/>
      <c r="Y523" s="212"/>
      <c r="Z523" s="212"/>
      <c r="AA523" s="212"/>
      <c r="AB523" s="212"/>
      <c r="AC523" s="241" t="n">
        <v>282</v>
      </c>
      <c r="AD523" s="243" t="s">
        <v>863</v>
      </c>
      <c r="AE523" s="229"/>
      <c r="AF523" s="229"/>
      <c r="AG523" s="229"/>
      <c r="AH523" s="238"/>
      <c r="AI523" s="240"/>
      <c r="AJ523" s="229"/>
      <c r="AK523" s="231"/>
      <c r="AL523" s="229"/>
      <c r="AM523" s="229"/>
      <c r="AN523" s="229"/>
      <c r="AO523" s="229"/>
      <c r="AP523" s="229"/>
      <c r="AQ523" s="229"/>
      <c r="AR523" s="229"/>
      <c r="AS523" s="229"/>
      <c r="AT523" s="229"/>
      <c r="AU523" s="229"/>
      <c r="AV523" s="229"/>
      <c r="AW523" s="5"/>
      <c r="AX523" s="5"/>
      <c r="AY523" s="5"/>
      <c r="AZ523" s="5"/>
      <c r="BA523" s="5"/>
      <c r="BB523" s="5"/>
      <c r="BC523" s="5"/>
      <c r="BD523" s="5"/>
      <c r="BE523" s="5"/>
      <c r="BF523" s="5"/>
      <c r="BG523" s="5"/>
    </row>
    <row r="524" customFormat="false" ht="1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212"/>
      <c r="V524" s="212"/>
      <c r="W524" s="212"/>
      <c r="X524" s="212"/>
      <c r="Y524" s="212"/>
      <c r="Z524" s="212"/>
      <c r="AA524" s="212"/>
      <c r="AB524" s="212"/>
      <c r="AC524" s="241" t="n">
        <v>283</v>
      </c>
      <c r="AD524" s="243" t="s">
        <v>864</v>
      </c>
      <c r="AE524" s="229"/>
      <c r="AF524" s="229"/>
      <c r="AG524" s="229"/>
      <c r="AH524" s="238"/>
      <c r="AI524" s="240"/>
      <c r="AJ524" s="229"/>
      <c r="AK524" s="231"/>
      <c r="AL524" s="229"/>
      <c r="AM524" s="229"/>
      <c r="AN524" s="229"/>
      <c r="AO524" s="229"/>
      <c r="AP524" s="229"/>
      <c r="AQ524" s="229"/>
      <c r="AR524" s="229"/>
      <c r="AS524" s="229"/>
      <c r="AT524" s="229"/>
      <c r="AU524" s="229"/>
      <c r="AV524" s="229"/>
      <c r="AW524" s="5"/>
      <c r="AX524" s="5"/>
      <c r="AY524" s="5"/>
      <c r="AZ524" s="5"/>
      <c r="BA524" s="5"/>
      <c r="BB524" s="5"/>
      <c r="BC524" s="5"/>
      <c r="BD524" s="5"/>
      <c r="BE524" s="5"/>
      <c r="BF524" s="5"/>
      <c r="BG524" s="5"/>
    </row>
    <row r="525" customFormat="false" ht="1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212"/>
      <c r="V525" s="212"/>
      <c r="W525" s="212"/>
      <c r="X525" s="212"/>
      <c r="Y525" s="212"/>
      <c r="Z525" s="212"/>
      <c r="AA525" s="212"/>
      <c r="AB525" s="212"/>
      <c r="AC525" s="241" t="n">
        <v>284</v>
      </c>
      <c r="AD525" s="243" t="s">
        <v>865</v>
      </c>
      <c r="AE525" s="229"/>
      <c r="AF525" s="229"/>
      <c r="AG525" s="229"/>
      <c r="AH525" s="238"/>
      <c r="AI525" s="240"/>
      <c r="AJ525" s="229"/>
      <c r="AK525" s="231"/>
      <c r="AL525" s="229"/>
      <c r="AM525" s="229"/>
      <c r="AN525" s="229"/>
      <c r="AO525" s="229"/>
      <c r="AP525" s="229"/>
      <c r="AQ525" s="229"/>
      <c r="AR525" s="229"/>
      <c r="AS525" s="229"/>
      <c r="AT525" s="229"/>
      <c r="AU525" s="229"/>
      <c r="AV525" s="229"/>
      <c r="AW525" s="5"/>
      <c r="AX525" s="5"/>
      <c r="AY525" s="5"/>
      <c r="AZ525" s="5"/>
      <c r="BA525" s="5"/>
      <c r="BB525" s="5"/>
      <c r="BC525" s="5"/>
      <c r="BD525" s="5"/>
      <c r="BE525" s="5"/>
      <c r="BF525" s="5"/>
      <c r="BG525" s="5"/>
    </row>
    <row r="526" customFormat="false" ht="1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212"/>
      <c r="V526" s="212"/>
      <c r="W526" s="212"/>
      <c r="X526" s="212"/>
      <c r="Y526" s="212"/>
      <c r="Z526" s="212"/>
      <c r="AA526" s="212"/>
      <c r="AB526" s="212"/>
      <c r="AC526" s="241" t="n">
        <v>285</v>
      </c>
      <c r="AD526" s="243" t="s">
        <v>866</v>
      </c>
      <c r="AE526" s="229"/>
      <c r="AF526" s="229"/>
      <c r="AG526" s="229"/>
      <c r="AH526" s="238"/>
      <c r="AI526" s="240"/>
      <c r="AJ526" s="229"/>
      <c r="AK526" s="231"/>
      <c r="AL526" s="229"/>
      <c r="AM526" s="229"/>
      <c r="AN526" s="229"/>
      <c r="AO526" s="229"/>
      <c r="AP526" s="229"/>
      <c r="AQ526" s="229"/>
      <c r="AR526" s="229"/>
      <c r="AS526" s="229"/>
      <c r="AT526" s="229"/>
      <c r="AU526" s="229"/>
      <c r="AV526" s="229"/>
      <c r="AW526" s="5"/>
      <c r="AX526" s="5"/>
      <c r="AY526" s="5"/>
      <c r="AZ526" s="5"/>
      <c r="BA526" s="5"/>
      <c r="BB526" s="5"/>
      <c r="BC526" s="5"/>
      <c r="BD526" s="5"/>
      <c r="BE526" s="5"/>
      <c r="BF526" s="5"/>
      <c r="BG526" s="5"/>
    </row>
    <row r="527" customFormat="false" ht="1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212"/>
      <c r="V527" s="212"/>
      <c r="W527" s="212"/>
      <c r="X527" s="212"/>
      <c r="Y527" s="212"/>
      <c r="Z527" s="212"/>
      <c r="AA527" s="212"/>
      <c r="AB527" s="212"/>
      <c r="AC527" s="241" t="n">
        <v>286</v>
      </c>
      <c r="AD527" s="243" t="s">
        <v>867</v>
      </c>
      <c r="AE527" s="229"/>
      <c r="AF527" s="229"/>
      <c r="AG527" s="229"/>
      <c r="AH527" s="238"/>
      <c r="AI527" s="240"/>
      <c r="AJ527" s="229"/>
      <c r="AK527" s="231"/>
      <c r="AL527" s="229"/>
      <c r="AM527" s="229"/>
      <c r="AN527" s="229"/>
      <c r="AO527" s="229"/>
      <c r="AP527" s="229"/>
      <c r="AQ527" s="229"/>
      <c r="AR527" s="229"/>
      <c r="AS527" s="229"/>
      <c r="AT527" s="229"/>
      <c r="AU527" s="229"/>
      <c r="AV527" s="229"/>
      <c r="AW527" s="5"/>
      <c r="AX527" s="5"/>
      <c r="AY527" s="5"/>
      <c r="AZ527" s="5"/>
      <c r="BA527" s="5"/>
      <c r="BB527" s="5"/>
      <c r="BC527" s="5"/>
      <c r="BD527" s="5"/>
      <c r="BE527" s="5"/>
      <c r="BF527" s="5"/>
      <c r="BG527" s="5"/>
    </row>
    <row r="528" customFormat="false" ht="1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212"/>
      <c r="V528" s="212"/>
      <c r="W528" s="212"/>
      <c r="X528" s="212"/>
      <c r="Y528" s="212"/>
      <c r="Z528" s="212"/>
      <c r="AA528" s="212"/>
      <c r="AB528" s="212"/>
      <c r="AC528" s="241" t="n">
        <v>287</v>
      </c>
      <c r="AD528" s="243" t="s">
        <v>868</v>
      </c>
      <c r="AE528" s="229"/>
      <c r="AF528" s="229"/>
      <c r="AG528" s="229"/>
      <c r="AH528" s="238"/>
      <c r="AI528" s="240"/>
      <c r="AJ528" s="229"/>
      <c r="AK528" s="231"/>
      <c r="AL528" s="229"/>
      <c r="AM528" s="229"/>
      <c r="AN528" s="229"/>
      <c r="AO528" s="229"/>
      <c r="AP528" s="229"/>
      <c r="AQ528" s="229"/>
      <c r="AR528" s="229"/>
      <c r="AS528" s="229"/>
      <c r="AT528" s="229"/>
      <c r="AU528" s="229"/>
      <c r="AV528" s="229"/>
      <c r="AW528" s="5"/>
      <c r="AX528" s="5"/>
      <c r="AY528" s="5"/>
      <c r="AZ528" s="5"/>
      <c r="BA528" s="5"/>
      <c r="BB528" s="5"/>
      <c r="BC528" s="5"/>
      <c r="BD528" s="5"/>
      <c r="BE528" s="5"/>
      <c r="BF528" s="5"/>
      <c r="BG528" s="5"/>
    </row>
    <row r="529" customFormat="false" ht="1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212"/>
      <c r="V529" s="212"/>
      <c r="W529" s="212"/>
      <c r="X529" s="212"/>
      <c r="Y529" s="212"/>
      <c r="Z529" s="212"/>
      <c r="AA529" s="212"/>
      <c r="AB529" s="212"/>
      <c r="AC529" s="241" t="n">
        <v>288</v>
      </c>
      <c r="AD529" s="243" t="s">
        <v>869</v>
      </c>
      <c r="AE529" s="229"/>
      <c r="AF529" s="229"/>
      <c r="AG529" s="229"/>
      <c r="AH529" s="238"/>
      <c r="AI529" s="240"/>
      <c r="AJ529" s="229"/>
      <c r="AK529" s="231"/>
      <c r="AL529" s="229"/>
      <c r="AM529" s="229"/>
      <c r="AN529" s="229"/>
      <c r="AO529" s="229"/>
      <c r="AP529" s="229"/>
      <c r="AQ529" s="229"/>
      <c r="AR529" s="229"/>
      <c r="AS529" s="229"/>
      <c r="AT529" s="229"/>
      <c r="AU529" s="229"/>
      <c r="AV529" s="229"/>
      <c r="AW529" s="5"/>
      <c r="AX529" s="5"/>
      <c r="AY529" s="5"/>
      <c r="AZ529" s="5"/>
      <c r="BA529" s="5"/>
      <c r="BB529" s="5"/>
      <c r="BC529" s="5"/>
      <c r="BD529" s="5"/>
      <c r="BE529" s="5"/>
      <c r="BF529" s="5"/>
      <c r="BG529" s="5"/>
    </row>
    <row r="530" customFormat="false" ht="1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212"/>
      <c r="V530" s="212"/>
      <c r="W530" s="212"/>
      <c r="X530" s="212"/>
      <c r="Y530" s="212"/>
      <c r="Z530" s="212"/>
      <c r="AA530" s="212"/>
      <c r="AB530" s="212"/>
      <c r="AC530" s="241" t="n">
        <v>289</v>
      </c>
      <c r="AD530" s="243" t="s">
        <v>870</v>
      </c>
      <c r="AE530" s="229"/>
      <c r="AF530" s="229"/>
      <c r="AG530" s="229"/>
      <c r="AH530" s="238"/>
      <c r="AI530" s="240"/>
      <c r="AJ530" s="229"/>
      <c r="AK530" s="231"/>
      <c r="AL530" s="229"/>
      <c r="AM530" s="229"/>
      <c r="AN530" s="229"/>
      <c r="AO530" s="229"/>
      <c r="AP530" s="229"/>
      <c r="AQ530" s="229"/>
      <c r="AR530" s="229"/>
      <c r="AS530" s="229"/>
      <c r="AT530" s="229"/>
      <c r="AU530" s="229"/>
      <c r="AV530" s="229"/>
      <c r="AW530" s="5"/>
      <c r="AX530" s="5"/>
      <c r="AY530" s="5"/>
      <c r="AZ530" s="5"/>
      <c r="BA530" s="5"/>
      <c r="BB530" s="5"/>
      <c r="BC530" s="5"/>
      <c r="BD530" s="5"/>
      <c r="BE530" s="5"/>
      <c r="BF530" s="5"/>
      <c r="BG530" s="5"/>
    </row>
    <row r="531" customFormat="false" ht="1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212"/>
      <c r="V531" s="212"/>
      <c r="W531" s="212"/>
      <c r="X531" s="212"/>
      <c r="Y531" s="212"/>
      <c r="Z531" s="212"/>
      <c r="AA531" s="212"/>
      <c r="AB531" s="212"/>
      <c r="AC531" s="241" t="n">
        <v>290</v>
      </c>
      <c r="AD531" s="243" t="s">
        <v>871</v>
      </c>
      <c r="AE531" s="229"/>
      <c r="AF531" s="229"/>
      <c r="AG531" s="229"/>
      <c r="AH531" s="238"/>
      <c r="AI531" s="240"/>
      <c r="AJ531" s="229"/>
      <c r="AK531" s="231"/>
      <c r="AL531" s="229"/>
      <c r="AM531" s="229"/>
      <c r="AN531" s="229"/>
      <c r="AO531" s="229"/>
      <c r="AP531" s="229"/>
      <c r="AQ531" s="229"/>
      <c r="AR531" s="229"/>
      <c r="AS531" s="229"/>
      <c r="AT531" s="229"/>
      <c r="AU531" s="229"/>
      <c r="AV531" s="229"/>
      <c r="AW531" s="5"/>
      <c r="AX531" s="5"/>
      <c r="AY531" s="5"/>
      <c r="AZ531" s="5"/>
      <c r="BA531" s="5"/>
      <c r="BB531" s="5"/>
      <c r="BC531" s="5"/>
      <c r="BD531" s="5"/>
      <c r="BE531" s="5"/>
      <c r="BF531" s="5"/>
      <c r="BG531" s="5"/>
    </row>
    <row r="532" customFormat="false" ht="1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212"/>
      <c r="V532" s="212"/>
      <c r="W532" s="212"/>
      <c r="X532" s="212"/>
      <c r="Y532" s="212"/>
      <c r="Z532" s="212"/>
      <c r="AA532" s="212"/>
      <c r="AB532" s="212"/>
      <c r="AC532" s="241" t="n">
        <v>291</v>
      </c>
      <c r="AD532" s="243" t="s">
        <v>872</v>
      </c>
      <c r="AE532" s="229"/>
      <c r="AF532" s="229"/>
      <c r="AG532" s="229"/>
      <c r="AH532" s="238"/>
      <c r="AI532" s="240"/>
      <c r="AJ532" s="229"/>
      <c r="AK532" s="231"/>
      <c r="AL532" s="229"/>
      <c r="AM532" s="229"/>
      <c r="AN532" s="229"/>
      <c r="AO532" s="229"/>
      <c r="AP532" s="229"/>
      <c r="AQ532" s="229"/>
      <c r="AR532" s="229"/>
      <c r="AS532" s="229"/>
      <c r="AT532" s="229"/>
      <c r="AU532" s="229"/>
      <c r="AV532" s="229"/>
      <c r="AW532" s="5"/>
      <c r="AX532" s="5"/>
      <c r="AY532" s="5"/>
      <c r="AZ532" s="5"/>
      <c r="BA532" s="5"/>
      <c r="BB532" s="5"/>
      <c r="BC532" s="5"/>
      <c r="BD532" s="5"/>
      <c r="BE532" s="5"/>
      <c r="BF532" s="5"/>
      <c r="BG532" s="5"/>
    </row>
    <row r="533" customFormat="false" ht="1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212"/>
      <c r="V533" s="212"/>
      <c r="W533" s="212"/>
      <c r="X533" s="212"/>
      <c r="Y533" s="212"/>
      <c r="Z533" s="212"/>
      <c r="AA533" s="212"/>
      <c r="AB533" s="212"/>
      <c r="AC533" s="241" t="n">
        <v>292</v>
      </c>
      <c r="AD533" s="243" t="s">
        <v>873</v>
      </c>
      <c r="AE533" s="229"/>
      <c r="AF533" s="229"/>
      <c r="AG533" s="229"/>
      <c r="AH533" s="238"/>
      <c r="AI533" s="240"/>
      <c r="AJ533" s="229"/>
      <c r="AK533" s="231"/>
      <c r="AL533" s="229"/>
      <c r="AM533" s="229"/>
      <c r="AN533" s="229"/>
      <c r="AO533" s="229"/>
      <c r="AP533" s="229"/>
      <c r="AQ533" s="229"/>
      <c r="AR533" s="229"/>
      <c r="AS533" s="229"/>
      <c r="AT533" s="229"/>
      <c r="AU533" s="229"/>
      <c r="AV533" s="229"/>
      <c r="AW533" s="5"/>
      <c r="AX533" s="5"/>
      <c r="AY533" s="5"/>
      <c r="AZ533" s="5"/>
      <c r="BA533" s="5"/>
      <c r="BB533" s="5"/>
      <c r="BC533" s="5"/>
      <c r="BD533" s="5"/>
      <c r="BE533" s="5"/>
      <c r="BF533" s="5"/>
      <c r="BG533" s="5"/>
    </row>
    <row r="534" customFormat="false" ht="1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212"/>
      <c r="V534" s="212"/>
      <c r="W534" s="212"/>
      <c r="X534" s="212"/>
      <c r="Y534" s="212"/>
      <c r="Z534" s="212"/>
      <c r="AA534" s="212"/>
      <c r="AB534" s="212"/>
      <c r="AC534" s="241" t="n">
        <v>293</v>
      </c>
      <c r="AD534" s="243" t="s">
        <v>874</v>
      </c>
      <c r="AE534" s="229"/>
      <c r="AF534" s="229"/>
      <c r="AG534" s="229"/>
      <c r="AH534" s="238"/>
      <c r="AI534" s="240"/>
      <c r="AJ534" s="229"/>
      <c r="AK534" s="231"/>
      <c r="AL534" s="229"/>
      <c r="AM534" s="229"/>
      <c r="AN534" s="229"/>
      <c r="AO534" s="229"/>
      <c r="AP534" s="229"/>
      <c r="AQ534" s="229"/>
      <c r="AR534" s="229"/>
      <c r="AS534" s="229"/>
      <c r="AT534" s="229"/>
      <c r="AU534" s="229"/>
      <c r="AV534" s="229"/>
      <c r="AW534" s="5"/>
      <c r="AX534" s="5"/>
      <c r="AY534" s="5"/>
      <c r="AZ534" s="5"/>
      <c r="BA534" s="5"/>
      <c r="BB534" s="5"/>
      <c r="BC534" s="5"/>
      <c r="BD534" s="5"/>
      <c r="BE534" s="5"/>
      <c r="BF534" s="5"/>
      <c r="BG534" s="5"/>
    </row>
    <row r="535" customFormat="false" ht="1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212"/>
      <c r="V535" s="212"/>
      <c r="W535" s="212"/>
      <c r="X535" s="212"/>
      <c r="Y535" s="212"/>
      <c r="Z535" s="212"/>
      <c r="AA535" s="212"/>
      <c r="AB535" s="212"/>
      <c r="AC535" s="241" t="n">
        <v>294</v>
      </c>
      <c r="AD535" s="243" t="s">
        <v>875</v>
      </c>
      <c r="AE535" s="229"/>
      <c r="AF535" s="229"/>
      <c r="AG535" s="229"/>
      <c r="AH535" s="238"/>
      <c r="AI535" s="240"/>
      <c r="AJ535" s="229"/>
      <c r="AK535" s="231"/>
      <c r="AL535" s="229"/>
      <c r="AM535" s="229"/>
      <c r="AN535" s="229"/>
      <c r="AO535" s="229"/>
      <c r="AP535" s="229"/>
      <c r="AQ535" s="229"/>
      <c r="AR535" s="229"/>
      <c r="AS535" s="229"/>
      <c r="AT535" s="229"/>
      <c r="AU535" s="229"/>
      <c r="AV535" s="229"/>
      <c r="AW535" s="5"/>
      <c r="AX535" s="5"/>
      <c r="AY535" s="5"/>
      <c r="AZ535" s="5"/>
      <c r="BA535" s="5"/>
      <c r="BB535" s="5"/>
      <c r="BC535" s="5"/>
      <c r="BD535" s="5"/>
      <c r="BE535" s="5"/>
      <c r="BF535" s="5"/>
      <c r="BG535" s="5"/>
    </row>
    <row r="536" customFormat="false" ht="1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212"/>
      <c r="V536" s="212"/>
      <c r="W536" s="212"/>
      <c r="X536" s="212"/>
      <c r="Y536" s="212"/>
      <c r="Z536" s="212"/>
      <c r="AA536" s="212"/>
      <c r="AB536" s="212"/>
      <c r="AC536" s="241" t="n">
        <v>295</v>
      </c>
      <c r="AD536" s="243" t="s">
        <v>876</v>
      </c>
      <c r="AE536" s="229"/>
      <c r="AF536" s="229"/>
      <c r="AG536" s="229"/>
      <c r="AH536" s="238"/>
      <c r="AI536" s="240"/>
      <c r="AJ536" s="229"/>
      <c r="AK536" s="231"/>
      <c r="AL536" s="229"/>
      <c r="AM536" s="229"/>
      <c r="AN536" s="229"/>
      <c r="AO536" s="229"/>
      <c r="AP536" s="229"/>
      <c r="AQ536" s="229"/>
      <c r="AR536" s="229"/>
      <c r="AS536" s="229"/>
      <c r="AT536" s="229"/>
      <c r="AU536" s="229"/>
      <c r="AV536" s="229"/>
      <c r="AW536" s="5"/>
      <c r="AX536" s="5"/>
      <c r="AY536" s="5"/>
      <c r="AZ536" s="5"/>
      <c r="BA536" s="5"/>
      <c r="BB536" s="5"/>
      <c r="BC536" s="5"/>
      <c r="BD536" s="5"/>
      <c r="BE536" s="5"/>
      <c r="BF536" s="5"/>
      <c r="BG536" s="5"/>
    </row>
    <row r="537" customFormat="false" ht="1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212"/>
      <c r="V537" s="212"/>
      <c r="W537" s="212"/>
      <c r="X537" s="212"/>
      <c r="Y537" s="212"/>
      <c r="Z537" s="212"/>
      <c r="AA537" s="212"/>
      <c r="AB537" s="212"/>
      <c r="AC537" s="241" t="n">
        <v>296</v>
      </c>
      <c r="AD537" s="243" t="s">
        <v>877</v>
      </c>
      <c r="AE537" s="229"/>
      <c r="AF537" s="229"/>
      <c r="AG537" s="229"/>
      <c r="AH537" s="238"/>
      <c r="AI537" s="240"/>
      <c r="AJ537" s="229"/>
      <c r="AK537" s="231"/>
      <c r="AL537" s="229"/>
      <c r="AM537" s="229"/>
      <c r="AN537" s="229"/>
      <c r="AO537" s="229"/>
      <c r="AP537" s="229"/>
      <c r="AQ537" s="229"/>
      <c r="AR537" s="229"/>
      <c r="AS537" s="229"/>
      <c r="AT537" s="229"/>
      <c r="AU537" s="229"/>
      <c r="AV537" s="229"/>
      <c r="AW537" s="5"/>
      <c r="AX537" s="5"/>
      <c r="AY537" s="5"/>
      <c r="AZ537" s="5"/>
      <c r="BA537" s="5"/>
      <c r="BB537" s="5"/>
      <c r="BC537" s="5"/>
      <c r="BD537" s="5"/>
      <c r="BE537" s="5"/>
      <c r="BF537" s="5"/>
      <c r="BG537" s="5"/>
    </row>
    <row r="538" customFormat="false" ht="1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212"/>
      <c r="V538" s="212"/>
      <c r="W538" s="212"/>
      <c r="X538" s="212"/>
      <c r="Y538" s="212"/>
      <c r="Z538" s="212"/>
      <c r="AA538" s="212"/>
      <c r="AB538" s="212"/>
      <c r="AC538" s="241" t="n">
        <v>297</v>
      </c>
      <c r="AD538" s="243" t="s">
        <v>878</v>
      </c>
      <c r="AE538" s="229"/>
      <c r="AF538" s="229"/>
      <c r="AG538" s="229"/>
      <c r="AH538" s="238"/>
      <c r="AI538" s="240"/>
      <c r="AJ538" s="229"/>
      <c r="AK538" s="231"/>
      <c r="AL538" s="229"/>
      <c r="AM538" s="229"/>
      <c r="AN538" s="229"/>
      <c r="AO538" s="229"/>
      <c r="AP538" s="229"/>
      <c r="AQ538" s="229"/>
      <c r="AR538" s="229"/>
      <c r="AS538" s="229"/>
      <c r="AT538" s="229"/>
      <c r="AU538" s="229"/>
      <c r="AV538" s="229"/>
      <c r="AW538" s="5"/>
      <c r="AX538" s="5"/>
      <c r="AY538" s="5"/>
      <c r="AZ538" s="5"/>
      <c r="BA538" s="5"/>
      <c r="BB538" s="5"/>
      <c r="BC538" s="5"/>
      <c r="BD538" s="5"/>
      <c r="BE538" s="5"/>
      <c r="BF538" s="5"/>
      <c r="BG538" s="5"/>
    </row>
    <row r="539" customFormat="false" ht="1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212"/>
      <c r="V539" s="212"/>
      <c r="W539" s="212"/>
      <c r="X539" s="212"/>
      <c r="Y539" s="212"/>
      <c r="Z539" s="212"/>
      <c r="AA539" s="212"/>
      <c r="AB539" s="212"/>
      <c r="AC539" s="241" t="n">
        <v>298</v>
      </c>
      <c r="AD539" s="243" t="s">
        <v>879</v>
      </c>
      <c r="AE539" s="229"/>
      <c r="AF539" s="229"/>
      <c r="AG539" s="229"/>
      <c r="AH539" s="238"/>
      <c r="AI539" s="240"/>
      <c r="AJ539" s="229"/>
      <c r="AK539" s="231"/>
      <c r="AL539" s="229"/>
      <c r="AM539" s="229"/>
      <c r="AN539" s="229"/>
      <c r="AO539" s="229"/>
      <c r="AP539" s="229"/>
      <c r="AQ539" s="229"/>
      <c r="AR539" s="229"/>
      <c r="AS539" s="229"/>
      <c r="AT539" s="229"/>
      <c r="AU539" s="229"/>
      <c r="AV539" s="229"/>
      <c r="AW539" s="5"/>
      <c r="AX539" s="5"/>
      <c r="AY539" s="5"/>
      <c r="AZ539" s="5"/>
      <c r="BA539" s="5"/>
      <c r="BB539" s="5"/>
      <c r="BC539" s="5"/>
      <c r="BD539" s="5"/>
      <c r="BE539" s="5"/>
      <c r="BF539" s="5"/>
      <c r="BG539" s="5"/>
    </row>
    <row r="540" customFormat="false" ht="1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212"/>
      <c r="V540" s="212"/>
      <c r="W540" s="212"/>
      <c r="X540" s="212"/>
      <c r="Y540" s="212"/>
      <c r="Z540" s="212"/>
      <c r="AA540" s="212"/>
      <c r="AB540" s="212"/>
      <c r="AC540" s="241" t="n">
        <v>299</v>
      </c>
      <c r="AD540" s="243" t="s">
        <v>880</v>
      </c>
      <c r="AE540" s="229"/>
      <c r="AF540" s="229"/>
      <c r="AG540" s="229"/>
      <c r="AH540" s="238"/>
      <c r="AI540" s="240"/>
      <c r="AJ540" s="229"/>
      <c r="AK540" s="231"/>
      <c r="AL540" s="229"/>
      <c r="AM540" s="229"/>
      <c r="AN540" s="229"/>
      <c r="AO540" s="229"/>
      <c r="AP540" s="229"/>
      <c r="AQ540" s="229"/>
      <c r="AR540" s="229"/>
      <c r="AS540" s="229"/>
      <c r="AT540" s="229"/>
      <c r="AU540" s="229"/>
      <c r="AV540" s="229"/>
      <c r="AW540" s="5"/>
      <c r="AX540" s="5"/>
      <c r="AY540" s="5"/>
      <c r="AZ540" s="5"/>
      <c r="BA540" s="5"/>
      <c r="BB540" s="5"/>
      <c r="BC540" s="5"/>
      <c r="BD540" s="5"/>
      <c r="BE540" s="5"/>
      <c r="BF540" s="5"/>
      <c r="BG540" s="5"/>
    </row>
    <row r="541" customFormat="false" ht="1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212"/>
      <c r="V541" s="212"/>
      <c r="W541" s="212"/>
      <c r="X541" s="212"/>
      <c r="Y541" s="212"/>
      <c r="Z541" s="212"/>
      <c r="AA541" s="212"/>
      <c r="AB541" s="212"/>
      <c r="AC541" s="241" t="n">
        <v>300</v>
      </c>
      <c r="AD541" s="243" t="s">
        <v>881</v>
      </c>
      <c r="AE541" s="229"/>
      <c r="AF541" s="229"/>
      <c r="AG541" s="229"/>
      <c r="AH541" s="238"/>
      <c r="AI541" s="240"/>
      <c r="AJ541" s="229"/>
      <c r="AK541" s="231"/>
      <c r="AL541" s="229"/>
      <c r="AM541" s="229"/>
      <c r="AN541" s="229"/>
      <c r="AO541" s="229"/>
      <c r="AP541" s="229"/>
      <c r="AQ541" s="229"/>
      <c r="AR541" s="229"/>
      <c r="AS541" s="229"/>
      <c r="AT541" s="229"/>
      <c r="AU541" s="229"/>
      <c r="AV541" s="229"/>
      <c r="AW541" s="5"/>
      <c r="AX541" s="5"/>
      <c r="AY541" s="5"/>
      <c r="AZ541" s="5"/>
      <c r="BA541" s="5"/>
      <c r="BB541" s="5"/>
      <c r="BC541" s="5"/>
      <c r="BD541" s="5"/>
      <c r="BE541" s="5"/>
      <c r="BF541" s="5"/>
      <c r="BG541" s="5"/>
    </row>
    <row r="542" customFormat="false" ht="1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212"/>
      <c r="V542" s="212"/>
      <c r="W542" s="212"/>
      <c r="X542" s="212"/>
      <c r="Y542" s="212"/>
      <c r="Z542" s="212"/>
      <c r="AA542" s="212"/>
      <c r="AB542" s="212"/>
      <c r="AC542" s="241" t="n">
        <v>301</v>
      </c>
      <c r="AD542" s="243" t="s">
        <v>882</v>
      </c>
      <c r="AE542" s="229"/>
      <c r="AF542" s="229"/>
      <c r="AG542" s="229"/>
      <c r="AH542" s="238"/>
      <c r="AI542" s="240"/>
      <c r="AJ542" s="229"/>
      <c r="AK542" s="231"/>
      <c r="AL542" s="229"/>
      <c r="AM542" s="229"/>
      <c r="AN542" s="229"/>
      <c r="AO542" s="229"/>
      <c r="AP542" s="229"/>
      <c r="AQ542" s="229"/>
      <c r="AR542" s="229"/>
      <c r="AS542" s="229"/>
      <c r="AT542" s="229"/>
      <c r="AU542" s="229"/>
      <c r="AV542" s="229"/>
      <c r="AW542" s="5"/>
      <c r="AX542" s="5"/>
      <c r="AY542" s="5"/>
      <c r="AZ542" s="5"/>
      <c r="BA542" s="5"/>
      <c r="BB542" s="5"/>
      <c r="BC542" s="5"/>
      <c r="BD542" s="5"/>
      <c r="BE542" s="5"/>
      <c r="BF542" s="5"/>
      <c r="BG542" s="5"/>
    </row>
    <row r="543" customFormat="false" ht="1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212"/>
      <c r="V543" s="212"/>
      <c r="W543" s="212"/>
      <c r="X543" s="212"/>
      <c r="Y543" s="212"/>
      <c r="Z543" s="212"/>
      <c r="AA543" s="212"/>
      <c r="AB543" s="212"/>
      <c r="AC543" s="241" t="n">
        <v>302</v>
      </c>
      <c r="AD543" s="243" t="s">
        <v>883</v>
      </c>
      <c r="AE543" s="229"/>
      <c r="AF543" s="229"/>
      <c r="AG543" s="229"/>
      <c r="AH543" s="238"/>
      <c r="AI543" s="240"/>
      <c r="AJ543" s="229"/>
      <c r="AK543" s="231"/>
      <c r="AL543" s="229"/>
      <c r="AM543" s="229"/>
      <c r="AN543" s="229"/>
      <c r="AO543" s="229"/>
      <c r="AP543" s="229"/>
      <c r="AQ543" s="229"/>
      <c r="AR543" s="229"/>
      <c r="AS543" s="229"/>
      <c r="AT543" s="229"/>
      <c r="AU543" s="229"/>
      <c r="AV543" s="229"/>
      <c r="AW543" s="5"/>
      <c r="AX543" s="5"/>
      <c r="AY543" s="5"/>
      <c r="AZ543" s="5"/>
      <c r="BA543" s="5"/>
      <c r="BB543" s="5"/>
      <c r="BC543" s="5"/>
      <c r="BD543" s="5"/>
      <c r="BE543" s="5"/>
      <c r="BF543" s="5"/>
      <c r="BG543" s="5"/>
    </row>
    <row r="544" customFormat="false" ht="1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212"/>
      <c r="V544" s="212"/>
      <c r="W544" s="212"/>
      <c r="X544" s="212"/>
      <c r="Y544" s="212"/>
      <c r="Z544" s="212"/>
      <c r="AA544" s="212"/>
      <c r="AB544" s="212"/>
      <c r="AC544" s="241" t="n">
        <v>303</v>
      </c>
      <c r="AD544" s="243" t="s">
        <v>884</v>
      </c>
      <c r="AE544" s="229"/>
      <c r="AF544" s="229"/>
      <c r="AG544" s="229"/>
      <c r="AH544" s="238"/>
      <c r="AI544" s="240"/>
      <c r="AJ544" s="229"/>
      <c r="AK544" s="231"/>
      <c r="AL544" s="229"/>
      <c r="AM544" s="229"/>
      <c r="AN544" s="229"/>
      <c r="AO544" s="229"/>
      <c r="AP544" s="229"/>
      <c r="AQ544" s="229"/>
      <c r="AR544" s="229"/>
      <c r="AS544" s="229"/>
      <c r="AT544" s="229"/>
      <c r="AU544" s="229"/>
      <c r="AV544" s="229"/>
      <c r="AW544" s="5"/>
      <c r="AX544" s="5"/>
      <c r="AY544" s="5"/>
      <c r="AZ544" s="5"/>
      <c r="BA544" s="5"/>
      <c r="BB544" s="5"/>
      <c r="BC544" s="5"/>
      <c r="BD544" s="5"/>
      <c r="BE544" s="5"/>
      <c r="BF544" s="5"/>
      <c r="BG544" s="5"/>
    </row>
    <row r="545" customFormat="false" ht="1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212"/>
      <c r="V545" s="212"/>
      <c r="W545" s="212"/>
      <c r="X545" s="212"/>
      <c r="Y545" s="212"/>
      <c r="Z545" s="212"/>
      <c r="AA545" s="212"/>
      <c r="AB545" s="212"/>
      <c r="AC545" s="241" t="n">
        <v>304</v>
      </c>
      <c r="AD545" s="243" t="s">
        <v>885</v>
      </c>
      <c r="AE545" s="229"/>
      <c r="AF545" s="229"/>
      <c r="AG545" s="229"/>
      <c r="AH545" s="238"/>
      <c r="AI545" s="240"/>
      <c r="AJ545" s="229"/>
      <c r="AK545" s="231"/>
      <c r="AL545" s="229"/>
      <c r="AM545" s="229"/>
      <c r="AN545" s="229"/>
      <c r="AO545" s="229"/>
      <c r="AP545" s="229"/>
      <c r="AQ545" s="229"/>
      <c r="AR545" s="229"/>
      <c r="AS545" s="229"/>
      <c r="AT545" s="229"/>
      <c r="AU545" s="229"/>
      <c r="AV545" s="229"/>
      <c r="AW545" s="5"/>
      <c r="AX545" s="5"/>
      <c r="AY545" s="5"/>
      <c r="AZ545" s="5"/>
      <c r="BA545" s="5"/>
      <c r="BB545" s="5"/>
      <c r="BC545" s="5"/>
      <c r="BD545" s="5"/>
      <c r="BE545" s="5"/>
      <c r="BF545" s="5"/>
      <c r="BG545" s="5"/>
    </row>
    <row r="546" customFormat="false" ht="1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212"/>
      <c r="V546" s="212"/>
      <c r="W546" s="212"/>
      <c r="X546" s="212"/>
      <c r="Y546" s="212"/>
      <c r="Z546" s="212"/>
      <c r="AA546" s="212"/>
      <c r="AB546" s="212"/>
      <c r="AC546" s="241" t="n">
        <v>305</v>
      </c>
      <c r="AD546" s="243" t="s">
        <v>886</v>
      </c>
      <c r="AE546" s="229"/>
      <c r="AF546" s="229"/>
      <c r="AG546" s="229"/>
      <c r="AH546" s="238"/>
      <c r="AI546" s="240"/>
      <c r="AJ546" s="229"/>
      <c r="AK546" s="231"/>
      <c r="AL546" s="229"/>
      <c r="AM546" s="229"/>
      <c r="AN546" s="229"/>
      <c r="AO546" s="229"/>
      <c r="AP546" s="229"/>
      <c r="AQ546" s="229"/>
      <c r="AR546" s="229"/>
      <c r="AS546" s="229"/>
      <c r="AT546" s="229"/>
      <c r="AU546" s="229"/>
      <c r="AV546" s="229"/>
      <c r="AW546" s="5"/>
      <c r="AX546" s="5"/>
      <c r="AY546" s="5"/>
      <c r="AZ546" s="5"/>
      <c r="BA546" s="5"/>
      <c r="BB546" s="5"/>
      <c r="BC546" s="5"/>
      <c r="BD546" s="5"/>
      <c r="BE546" s="5"/>
      <c r="BF546" s="5"/>
      <c r="BG546" s="5"/>
    </row>
    <row r="547" customFormat="false" ht="1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212"/>
      <c r="V547" s="212"/>
      <c r="W547" s="212"/>
      <c r="X547" s="212"/>
      <c r="Y547" s="212"/>
      <c r="Z547" s="212"/>
      <c r="AA547" s="212"/>
      <c r="AB547" s="212"/>
      <c r="AC547" s="241" t="n">
        <v>306</v>
      </c>
      <c r="AD547" s="243" t="s">
        <v>887</v>
      </c>
      <c r="AE547" s="229"/>
      <c r="AF547" s="229"/>
      <c r="AG547" s="229"/>
      <c r="AH547" s="238"/>
      <c r="AI547" s="240"/>
      <c r="AJ547" s="229"/>
      <c r="AK547" s="231"/>
      <c r="AL547" s="229"/>
      <c r="AM547" s="229"/>
      <c r="AN547" s="229"/>
      <c r="AO547" s="229"/>
      <c r="AP547" s="229"/>
      <c r="AQ547" s="229"/>
      <c r="AR547" s="229"/>
      <c r="AS547" s="229"/>
      <c r="AT547" s="229"/>
      <c r="AU547" s="229"/>
      <c r="AV547" s="229"/>
      <c r="AW547" s="5"/>
      <c r="AX547" s="5"/>
      <c r="AY547" s="5"/>
      <c r="AZ547" s="5"/>
      <c r="BA547" s="5"/>
      <c r="BB547" s="5"/>
      <c r="BC547" s="5"/>
      <c r="BD547" s="5"/>
      <c r="BE547" s="5"/>
      <c r="BF547" s="5"/>
      <c r="BG547" s="5"/>
    </row>
    <row r="548" customFormat="false" ht="1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212"/>
      <c r="V548" s="212"/>
      <c r="W548" s="212"/>
      <c r="X548" s="212"/>
      <c r="Y548" s="212"/>
      <c r="Z548" s="212"/>
      <c r="AA548" s="212"/>
      <c r="AB548" s="212"/>
      <c r="AC548" s="241" t="n">
        <v>307</v>
      </c>
      <c r="AD548" s="243" t="s">
        <v>888</v>
      </c>
      <c r="AE548" s="229"/>
      <c r="AF548" s="229"/>
      <c r="AG548" s="229"/>
      <c r="AH548" s="238"/>
      <c r="AI548" s="240"/>
      <c r="AJ548" s="229"/>
      <c r="AK548" s="231"/>
      <c r="AL548" s="229"/>
      <c r="AM548" s="229"/>
      <c r="AN548" s="229"/>
      <c r="AO548" s="229"/>
      <c r="AP548" s="229"/>
      <c r="AQ548" s="229"/>
      <c r="AR548" s="229"/>
      <c r="AS548" s="229"/>
      <c r="AT548" s="229"/>
      <c r="AU548" s="229"/>
      <c r="AV548" s="229"/>
      <c r="AW548" s="5"/>
      <c r="AX548" s="5"/>
      <c r="AY548" s="5"/>
      <c r="AZ548" s="5"/>
      <c r="BA548" s="5"/>
      <c r="BB548" s="5"/>
      <c r="BC548" s="5"/>
      <c r="BD548" s="5"/>
      <c r="BE548" s="5"/>
      <c r="BF548" s="5"/>
      <c r="BG548" s="5"/>
    </row>
    <row r="549" customFormat="false" ht="1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212"/>
      <c r="V549" s="212"/>
      <c r="W549" s="212"/>
      <c r="X549" s="212"/>
      <c r="Y549" s="212"/>
      <c r="Z549" s="212"/>
      <c r="AA549" s="212"/>
      <c r="AB549" s="212"/>
      <c r="AC549" s="241" t="n">
        <v>308</v>
      </c>
      <c r="AD549" s="243" t="s">
        <v>889</v>
      </c>
      <c r="AE549" s="229"/>
      <c r="AF549" s="229"/>
      <c r="AG549" s="229"/>
      <c r="AH549" s="238"/>
      <c r="AI549" s="240"/>
      <c r="AJ549" s="229"/>
      <c r="AK549" s="231"/>
      <c r="AL549" s="229"/>
      <c r="AM549" s="229"/>
      <c r="AN549" s="229"/>
      <c r="AO549" s="229"/>
      <c r="AP549" s="229"/>
      <c r="AQ549" s="229"/>
      <c r="AR549" s="229"/>
      <c r="AS549" s="229"/>
      <c r="AT549" s="229"/>
      <c r="AU549" s="229"/>
      <c r="AV549" s="229"/>
      <c r="AW549" s="5"/>
      <c r="AX549" s="5"/>
      <c r="AY549" s="5"/>
      <c r="AZ549" s="5"/>
      <c r="BA549" s="5"/>
      <c r="BB549" s="5"/>
      <c r="BC549" s="5"/>
      <c r="BD549" s="5"/>
      <c r="BE549" s="5"/>
      <c r="BF549" s="5"/>
      <c r="BG549" s="5"/>
    </row>
    <row r="550" customFormat="false" ht="1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212"/>
      <c r="V550" s="212"/>
      <c r="W550" s="212"/>
      <c r="X550" s="212"/>
      <c r="Y550" s="212"/>
      <c r="Z550" s="212"/>
      <c r="AA550" s="212"/>
      <c r="AB550" s="212"/>
      <c r="AC550" s="241" t="n">
        <v>309</v>
      </c>
      <c r="AD550" s="243" t="s">
        <v>890</v>
      </c>
      <c r="AE550" s="229"/>
      <c r="AF550" s="229"/>
      <c r="AG550" s="229"/>
      <c r="AH550" s="238"/>
      <c r="AI550" s="240"/>
      <c r="AJ550" s="229"/>
      <c r="AK550" s="231"/>
      <c r="AL550" s="229"/>
      <c r="AM550" s="229"/>
      <c r="AN550" s="229"/>
      <c r="AO550" s="229"/>
      <c r="AP550" s="229"/>
      <c r="AQ550" s="229"/>
      <c r="AR550" s="229"/>
      <c r="AS550" s="229"/>
      <c r="AT550" s="229"/>
      <c r="AU550" s="229"/>
      <c r="AV550" s="229"/>
      <c r="AW550" s="5"/>
      <c r="AX550" s="5"/>
      <c r="AY550" s="5"/>
      <c r="AZ550" s="5"/>
      <c r="BA550" s="5"/>
      <c r="BB550" s="5"/>
      <c r="BC550" s="5"/>
      <c r="BD550" s="5"/>
      <c r="BE550" s="5"/>
      <c r="BF550" s="5"/>
      <c r="BG550" s="5"/>
    </row>
    <row r="551" customFormat="false" ht="1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212"/>
      <c r="V551" s="212"/>
      <c r="W551" s="212"/>
      <c r="X551" s="212"/>
      <c r="Y551" s="212"/>
      <c r="Z551" s="212"/>
      <c r="AA551" s="212"/>
      <c r="AB551" s="212"/>
      <c r="AC551" s="241" t="n">
        <v>310</v>
      </c>
      <c r="AD551" s="243" t="s">
        <v>891</v>
      </c>
      <c r="AE551" s="229"/>
      <c r="AF551" s="229"/>
      <c r="AG551" s="229"/>
      <c r="AH551" s="238"/>
      <c r="AI551" s="240"/>
      <c r="AJ551" s="229"/>
      <c r="AK551" s="231"/>
      <c r="AL551" s="229"/>
      <c r="AM551" s="229"/>
      <c r="AN551" s="229"/>
      <c r="AO551" s="229"/>
      <c r="AP551" s="229"/>
      <c r="AQ551" s="229"/>
      <c r="AR551" s="229"/>
      <c r="AS551" s="229"/>
      <c r="AT551" s="229"/>
      <c r="AU551" s="229"/>
      <c r="AV551" s="229"/>
      <c r="AW551" s="5"/>
      <c r="AX551" s="5"/>
      <c r="AY551" s="5"/>
      <c r="AZ551" s="5"/>
      <c r="BA551" s="5"/>
      <c r="BB551" s="5"/>
      <c r="BC551" s="5"/>
      <c r="BD551" s="5"/>
      <c r="BE551" s="5"/>
      <c r="BF551" s="5"/>
      <c r="BG551" s="5"/>
    </row>
    <row r="552" customFormat="false" ht="1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212"/>
      <c r="V552" s="212"/>
      <c r="W552" s="212"/>
      <c r="X552" s="212"/>
      <c r="Y552" s="212"/>
      <c r="Z552" s="212"/>
      <c r="AA552" s="212"/>
      <c r="AB552" s="212"/>
      <c r="AC552" s="241" t="n">
        <v>311</v>
      </c>
      <c r="AD552" s="243" t="s">
        <v>892</v>
      </c>
      <c r="AE552" s="229"/>
      <c r="AF552" s="229"/>
      <c r="AG552" s="229"/>
      <c r="AH552" s="238"/>
      <c r="AI552" s="240"/>
      <c r="AJ552" s="229"/>
      <c r="AK552" s="231"/>
      <c r="AL552" s="229"/>
      <c r="AM552" s="229"/>
      <c r="AN552" s="229"/>
      <c r="AO552" s="229"/>
      <c r="AP552" s="229"/>
      <c r="AQ552" s="229"/>
      <c r="AR552" s="229"/>
      <c r="AS552" s="229"/>
      <c r="AT552" s="229"/>
      <c r="AU552" s="229"/>
      <c r="AV552" s="229"/>
      <c r="AW552" s="5"/>
      <c r="AX552" s="5"/>
      <c r="AY552" s="5"/>
      <c r="AZ552" s="5"/>
      <c r="BA552" s="5"/>
      <c r="BB552" s="5"/>
      <c r="BC552" s="5"/>
      <c r="BD552" s="5"/>
      <c r="BE552" s="5"/>
      <c r="BF552" s="5"/>
      <c r="BG552" s="5"/>
    </row>
    <row r="553" customFormat="false" ht="1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212"/>
      <c r="V553" s="212"/>
      <c r="W553" s="212"/>
      <c r="X553" s="212"/>
      <c r="Y553" s="212"/>
      <c r="Z553" s="212"/>
      <c r="AA553" s="212"/>
      <c r="AB553" s="212"/>
      <c r="AC553" s="241" t="n">
        <v>312</v>
      </c>
      <c r="AD553" s="243" t="s">
        <v>893</v>
      </c>
      <c r="AE553" s="229"/>
      <c r="AF553" s="229"/>
      <c r="AG553" s="229"/>
      <c r="AH553" s="238"/>
      <c r="AI553" s="240"/>
      <c r="AJ553" s="229"/>
      <c r="AK553" s="231"/>
      <c r="AL553" s="229"/>
      <c r="AM553" s="229"/>
      <c r="AN553" s="229"/>
      <c r="AO553" s="229"/>
      <c r="AP553" s="229"/>
      <c r="AQ553" s="229"/>
      <c r="AR553" s="229"/>
      <c r="AS553" s="229"/>
      <c r="AT553" s="229"/>
      <c r="AU553" s="229"/>
      <c r="AV553" s="229"/>
      <c r="AW553" s="5"/>
      <c r="AX553" s="5"/>
      <c r="AY553" s="5"/>
      <c r="AZ553" s="5"/>
      <c r="BA553" s="5"/>
      <c r="BB553" s="5"/>
      <c r="BC553" s="5"/>
      <c r="BD553" s="5"/>
      <c r="BE553" s="5"/>
      <c r="BF553" s="5"/>
      <c r="BG553" s="5"/>
    </row>
    <row r="554" customFormat="false" ht="1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212"/>
      <c r="V554" s="212"/>
      <c r="W554" s="212"/>
      <c r="X554" s="212"/>
      <c r="Y554" s="212"/>
      <c r="Z554" s="212"/>
      <c r="AA554" s="212"/>
      <c r="AB554" s="212"/>
      <c r="AC554" s="241" t="n">
        <v>313</v>
      </c>
      <c r="AD554" s="243" t="s">
        <v>894</v>
      </c>
      <c r="AE554" s="229"/>
      <c r="AF554" s="229"/>
      <c r="AG554" s="229"/>
      <c r="AH554" s="238"/>
      <c r="AI554" s="240"/>
      <c r="AJ554" s="229"/>
      <c r="AK554" s="231"/>
      <c r="AL554" s="229"/>
      <c r="AM554" s="229"/>
      <c r="AN554" s="229"/>
      <c r="AO554" s="229"/>
      <c r="AP554" s="229"/>
      <c r="AQ554" s="229"/>
      <c r="AR554" s="229"/>
      <c r="AS554" s="229"/>
      <c r="AT554" s="229"/>
      <c r="AU554" s="229"/>
      <c r="AV554" s="229"/>
      <c r="AW554" s="5"/>
      <c r="AX554" s="5"/>
      <c r="AY554" s="5"/>
      <c r="AZ554" s="5"/>
      <c r="BA554" s="5"/>
      <c r="BB554" s="5"/>
      <c r="BC554" s="5"/>
      <c r="BD554" s="5"/>
      <c r="BE554" s="5"/>
      <c r="BF554" s="5"/>
      <c r="BG554" s="5"/>
    </row>
    <row r="555" customFormat="false" ht="1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212"/>
      <c r="V555" s="212"/>
      <c r="W555" s="212"/>
      <c r="X555" s="212"/>
      <c r="Y555" s="212"/>
      <c r="Z555" s="212"/>
      <c r="AA555" s="212"/>
      <c r="AB555" s="212"/>
      <c r="AC555" s="241" t="n">
        <v>314</v>
      </c>
      <c r="AD555" s="243" t="s">
        <v>895</v>
      </c>
      <c r="AE555" s="229"/>
      <c r="AF555" s="229"/>
      <c r="AG555" s="229"/>
      <c r="AH555" s="238"/>
      <c r="AI555" s="240"/>
      <c r="AJ555" s="229"/>
      <c r="AK555" s="231"/>
      <c r="AL555" s="229"/>
      <c r="AM555" s="229"/>
      <c r="AN555" s="229"/>
      <c r="AO555" s="229"/>
      <c r="AP555" s="229"/>
      <c r="AQ555" s="229"/>
      <c r="AR555" s="229"/>
      <c r="AS555" s="229"/>
      <c r="AT555" s="229"/>
      <c r="AU555" s="229"/>
      <c r="AV555" s="229"/>
      <c r="AW555" s="5"/>
      <c r="AX555" s="5"/>
      <c r="AY555" s="5"/>
      <c r="AZ555" s="5"/>
      <c r="BA555" s="5"/>
      <c r="BB555" s="5"/>
      <c r="BC555" s="5"/>
      <c r="BD555" s="5"/>
      <c r="BE555" s="5"/>
      <c r="BF555" s="5"/>
      <c r="BG555" s="5"/>
    </row>
    <row r="556" customFormat="false" ht="1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212"/>
      <c r="V556" s="212"/>
      <c r="W556" s="212"/>
      <c r="X556" s="212"/>
      <c r="Y556" s="212"/>
      <c r="Z556" s="212"/>
      <c r="AA556" s="212"/>
      <c r="AB556" s="212"/>
      <c r="AC556" s="241" t="n">
        <v>315</v>
      </c>
      <c r="AD556" s="243" t="s">
        <v>896</v>
      </c>
      <c r="AE556" s="229"/>
      <c r="AF556" s="229"/>
      <c r="AG556" s="229"/>
      <c r="AH556" s="238"/>
      <c r="AI556" s="240"/>
      <c r="AJ556" s="229"/>
      <c r="AK556" s="231"/>
      <c r="AL556" s="229"/>
      <c r="AM556" s="229"/>
      <c r="AN556" s="229"/>
      <c r="AO556" s="229"/>
      <c r="AP556" s="229"/>
      <c r="AQ556" s="229"/>
      <c r="AR556" s="229"/>
      <c r="AS556" s="229"/>
      <c r="AT556" s="229"/>
      <c r="AU556" s="229"/>
      <c r="AV556" s="229"/>
      <c r="AW556" s="5"/>
      <c r="AX556" s="5"/>
      <c r="AY556" s="5"/>
      <c r="AZ556" s="5"/>
      <c r="BA556" s="5"/>
      <c r="BB556" s="5"/>
      <c r="BC556" s="5"/>
      <c r="BD556" s="5"/>
      <c r="BE556" s="5"/>
      <c r="BF556" s="5"/>
      <c r="BG556" s="5"/>
    </row>
    <row r="557" customFormat="false" ht="1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212"/>
      <c r="V557" s="212"/>
      <c r="W557" s="212"/>
      <c r="X557" s="212"/>
      <c r="Y557" s="212"/>
      <c r="Z557" s="212"/>
      <c r="AA557" s="212"/>
      <c r="AB557" s="212"/>
      <c r="AC557" s="241" t="n">
        <v>316</v>
      </c>
      <c r="AD557" s="243" t="s">
        <v>897</v>
      </c>
      <c r="AE557" s="229"/>
      <c r="AF557" s="229"/>
      <c r="AG557" s="229"/>
      <c r="AH557" s="238"/>
      <c r="AI557" s="240"/>
      <c r="AJ557" s="229"/>
      <c r="AK557" s="231"/>
      <c r="AL557" s="229"/>
      <c r="AM557" s="229"/>
      <c r="AN557" s="229"/>
      <c r="AO557" s="229"/>
      <c r="AP557" s="229"/>
      <c r="AQ557" s="229"/>
      <c r="AR557" s="229"/>
      <c r="AS557" s="229"/>
      <c r="AT557" s="229"/>
      <c r="AU557" s="229"/>
      <c r="AV557" s="229"/>
      <c r="AW557" s="5"/>
      <c r="AX557" s="5"/>
      <c r="AY557" s="5"/>
      <c r="AZ557" s="5"/>
      <c r="BA557" s="5"/>
      <c r="BB557" s="5"/>
      <c r="BC557" s="5"/>
      <c r="BD557" s="5"/>
      <c r="BE557" s="5"/>
      <c r="BF557" s="5"/>
      <c r="BG557" s="5"/>
    </row>
    <row r="558" customFormat="false" ht="1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212"/>
      <c r="V558" s="212"/>
      <c r="W558" s="212"/>
      <c r="X558" s="212"/>
      <c r="Y558" s="212"/>
      <c r="Z558" s="212"/>
      <c r="AA558" s="212"/>
      <c r="AB558" s="212"/>
      <c r="AC558" s="241" t="n">
        <v>317</v>
      </c>
      <c r="AD558" s="243" t="s">
        <v>898</v>
      </c>
      <c r="AE558" s="229"/>
      <c r="AF558" s="229"/>
      <c r="AG558" s="229"/>
      <c r="AH558" s="238"/>
      <c r="AI558" s="240"/>
      <c r="AJ558" s="229"/>
      <c r="AK558" s="231"/>
      <c r="AL558" s="229"/>
      <c r="AM558" s="229"/>
      <c r="AN558" s="229"/>
      <c r="AO558" s="229"/>
      <c r="AP558" s="229"/>
      <c r="AQ558" s="229"/>
      <c r="AR558" s="229"/>
      <c r="AS558" s="229"/>
      <c r="AT558" s="229"/>
      <c r="AU558" s="229"/>
      <c r="AV558" s="229"/>
      <c r="AW558" s="5"/>
      <c r="AX558" s="5"/>
      <c r="AY558" s="5"/>
      <c r="AZ558" s="5"/>
      <c r="BA558" s="5"/>
      <c r="BB558" s="5"/>
      <c r="BC558" s="5"/>
      <c r="BD558" s="5"/>
      <c r="BE558" s="5"/>
      <c r="BF558" s="5"/>
      <c r="BG558" s="5"/>
    </row>
    <row r="559" customFormat="false" ht="1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212"/>
      <c r="V559" s="212"/>
      <c r="W559" s="212"/>
      <c r="X559" s="212"/>
      <c r="Y559" s="212"/>
      <c r="Z559" s="212"/>
      <c r="AA559" s="212"/>
      <c r="AB559" s="212"/>
      <c r="AC559" s="241" t="n">
        <v>318</v>
      </c>
      <c r="AD559" s="243" t="s">
        <v>899</v>
      </c>
      <c r="AE559" s="229"/>
      <c r="AF559" s="229"/>
      <c r="AG559" s="229"/>
      <c r="AH559" s="238"/>
      <c r="AI559" s="240"/>
      <c r="AJ559" s="229"/>
      <c r="AK559" s="231"/>
      <c r="AL559" s="229"/>
      <c r="AM559" s="229"/>
      <c r="AN559" s="229"/>
      <c r="AO559" s="229"/>
      <c r="AP559" s="229"/>
      <c r="AQ559" s="229"/>
      <c r="AR559" s="229"/>
      <c r="AS559" s="229"/>
      <c r="AT559" s="229"/>
      <c r="AU559" s="229"/>
      <c r="AV559" s="229"/>
      <c r="AW559" s="5"/>
      <c r="AX559" s="5"/>
      <c r="AY559" s="5"/>
      <c r="AZ559" s="5"/>
      <c r="BA559" s="5"/>
      <c r="BB559" s="5"/>
      <c r="BC559" s="5"/>
      <c r="BD559" s="5"/>
      <c r="BE559" s="5"/>
      <c r="BF559" s="5"/>
      <c r="BG559" s="5"/>
    </row>
    <row r="560" customFormat="false" ht="1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212"/>
      <c r="V560" s="212"/>
      <c r="W560" s="212"/>
      <c r="X560" s="212"/>
      <c r="Y560" s="212"/>
      <c r="Z560" s="212"/>
      <c r="AA560" s="212"/>
      <c r="AB560" s="212"/>
      <c r="AC560" s="241" t="n">
        <v>319</v>
      </c>
      <c r="AD560" s="243" t="s">
        <v>900</v>
      </c>
      <c r="AE560" s="229"/>
      <c r="AF560" s="229"/>
      <c r="AG560" s="229"/>
      <c r="AH560" s="238"/>
      <c r="AI560" s="240"/>
      <c r="AJ560" s="229"/>
      <c r="AK560" s="231"/>
      <c r="AL560" s="229"/>
      <c r="AM560" s="229"/>
      <c r="AN560" s="229"/>
      <c r="AO560" s="229"/>
      <c r="AP560" s="229"/>
      <c r="AQ560" s="229"/>
      <c r="AR560" s="229"/>
      <c r="AS560" s="229"/>
      <c r="AT560" s="229"/>
      <c r="AU560" s="229"/>
      <c r="AV560" s="229"/>
      <c r="AW560" s="5"/>
      <c r="AX560" s="5"/>
      <c r="AY560" s="5"/>
      <c r="AZ560" s="5"/>
      <c r="BA560" s="5"/>
      <c r="BB560" s="5"/>
      <c r="BC560" s="5"/>
      <c r="BD560" s="5"/>
      <c r="BE560" s="5"/>
      <c r="BF560" s="5"/>
      <c r="BG560" s="5"/>
    </row>
    <row r="561" customFormat="false" ht="1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212"/>
      <c r="V561" s="212"/>
      <c r="W561" s="212"/>
      <c r="X561" s="212"/>
      <c r="Y561" s="212"/>
      <c r="Z561" s="212"/>
      <c r="AA561" s="212"/>
      <c r="AB561" s="212"/>
      <c r="AC561" s="241" t="n">
        <v>320</v>
      </c>
      <c r="AD561" s="243" t="s">
        <v>901</v>
      </c>
      <c r="AE561" s="229"/>
      <c r="AF561" s="229"/>
      <c r="AG561" s="229"/>
      <c r="AH561" s="238"/>
      <c r="AI561" s="240"/>
      <c r="AJ561" s="229"/>
      <c r="AK561" s="231"/>
      <c r="AL561" s="229"/>
      <c r="AM561" s="229"/>
      <c r="AN561" s="229"/>
      <c r="AO561" s="229"/>
      <c r="AP561" s="229"/>
      <c r="AQ561" s="229"/>
      <c r="AR561" s="229"/>
      <c r="AS561" s="229"/>
      <c r="AT561" s="229"/>
      <c r="AU561" s="229"/>
      <c r="AV561" s="229"/>
      <c r="AW561" s="5"/>
      <c r="AX561" s="5"/>
      <c r="AY561" s="5"/>
      <c r="AZ561" s="5"/>
      <c r="BA561" s="5"/>
      <c r="BB561" s="5"/>
      <c r="BC561" s="5"/>
      <c r="BD561" s="5"/>
      <c r="BE561" s="5"/>
      <c r="BF561" s="5"/>
      <c r="BG561" s="5"/>
    </row>
    <row r="562" customFormat="false" ht="1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212"/>
      <c r="V562" s="212"/>
      <c r="W562" s="212"/>
      <c r="X562" s="212"/>
      <c r="Y562" s="212"/>
      <c r="Z562" s="212"/>
      <c r="AA562" s="212"/>
      <c r="AB562" s="212"/>
      <c r="AC562" s="241" t="n">
        <v>321</v>
      </c>
      <c r="AD562" s="243" t="s">
        <v>902</v>
      </c>
      <c r="AE562" s="229"/>
      <c r="AF562" s="229"/>
      <c r="AG562" s="229"/>
      <c r="AH562" s="238"/>
      <c r="AI562" s="240"/>
      <c r="AJ562" s="229"/>
      <c r="AK562" s="231"/>
      <c r="AL562" s="229"/>
      <c r="AM562" s="229"/>
      <c r="AN562" s="229"/>
      <c r="AO562" s="229"/>
      <c r="AP562" s="229"/>
      <c r="AQ562" s="229"/>
      <c r="AR562" s="229"/>
      <c r="AS562" s="229"/>
      <c r="AT562" s="229"/>
      <c r="AU562" s="229"/>
      <c r="AV562" s="229"/>
      <c r="AW562" s="5"/>
      <c r="AX562" s="5"/>
      <c r="AY562" s="5"/>
      <c r="AZ562" s="5"/>
      <c r="BA562" s="5"/>
      <c r="BB562" s="5"/>
      <c r="BC562" s="5"/>
      <c r="BD562" s="5"/>
      <c r="BE562" s="5"/>
      <c r="BF562" s="5"/>
      <c r="BG562" s="5"/>
    </row>
    <row r="563" customFormat="false" ht="1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212"/>
      <c r="V563" s="212"/>
      <c r="W563" s="212"/>
      <c r="X563" s="212"/>
      <c r="Y563" s="212"/>
      <c r="Z563" s="212"/>
      <c r="AA563" s="212"/>
      <c r="AB563" s="212"/>
      <c r="AC563" s="241" t="n">
        <v>322</v>
      </c>
      <c r="AD563" s="243" t="s">
        <v>903</v>
      </c>
      <c r="AE563" s="229"/>
      <c r="AF563" s="229"/>
      <c r="AG563" s="229"/>
      <c r="AH563" s="238"/>
      <c r="AI563" s="240"/>
      <c r="AJ563" s="229"/>
      <c r="AK563" s="231"/>
      <c r="AL563" s="229"/>
      <c r="AM563" s="229"/>
      <c r="AN563" s="229"/>
      <c r="AO563" s="229"/>
      <c r="AP563" s="229"/>
      <c r="AQ563" s="229"/>
      <c r="AR563" s="229"/>
      <c r="AS563" s="229"/>
      <c r="AT563" s="229"/>
      <c r="AU563" s="229"/>
      <c r="AV563" s="229"/>
      <c r="AW563" s="5"/>
      <c r="AX563" s="5"/>
      <c r="AY563" s="5"/>
      <c r="AZ563" s="5"/>
      <c r="BA563" s="5"/>
      <c r="BB563" s="5"/>
      <c r="BC563" s="5"/>
      <c r="BD563" s="5"/>
      <c r="BE563" s="5"/>
      <c r="BF563" s="5"/>
      <c r="BG563" s="5"/>
    </row>
    <row r="564" customFormat="false" ht="1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212"/>
      <c r="V564" s="212"/>
      <c r="W564" s="212"/>
      <c r="X564" s="212"/>
      <c r="Y564" s="212"/>
      <c r="Z564" s="212"/>
      <c r="AA564" s="212"/>
      <c r="AB564" s="212"/>
      <c r="AC564" s="241" t="n">
        <v>323</v>
      </c>
      <c r="AD564" s="243" t="s">
        <v>904</v>
      </c>
      <c r="AE564" s="229"/>
      <c r="AF564" s="229"/>
      <c r="AG564" s="229"/>
      <c r="AH564" s="238"/>
      <c r="AI564" s="240"/>
      <c r="AJ564" s="229"/>
      <c r="AK564" s="231"/>
      <c r="AL564" s="229"/>
      <c r="AM564" s="229"/>
      <c r="AN564" s="229"/>
      <c r="AO564" s="229"/>
      <c r="AP564" s="229"/>
      <c r="AQ564" s="229"/>
      <c r="AR564" s="229"/>
      <c r="AS564" s="229"/>
      <c r="AT564" s="229"/>
      <c r="AU564" s="229"/>
      <c r="AV564" s="229"/>
      <c r="AW564" s="5"/>
      <c r="AX564" s="5"/>
      <c r="AY564" s="5"/>
      <c r="AZ564" s="5"/>
      <c r="BA564" s="5"/>
      <c r="BB564" s="5"/>
      <c r="BC564" s="5"/>
      <c r="BD564" s="5"/>
      <c r="BE564" s="5"/>
      <c r="BF564" s="5"/>
      <c r="BG564" s="5"/>
    </row>
    <row r="565" customFormat="false" ht="1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212"/>
      <c r="V565" s="212"/>
      <c r="W565" s="212"/>
      <c r="X565" s="212"/>
      <c r="Y565" s="212"/>
      <c r="Z565" s="212"/>
      <c r="AA565" s="212"/>
      <c r="AB565" s="212"/>
      <c r="AC565" s="241" t="n">
        <v>324</v>
      </c>
      <c r="AD565" s="243" t="s">
        <v>905</v>
      </c>
      <c r="AE565" s="229"/>
      <c r="AF565" s="229"/>
      <c r="AG565" s="229"/>
      <c r="AH565" s="238"/>
      <c r="AI565" s="240"/>
      <c r="AJ565" s="229"/>
      <c r="AK565" s="231"/>
      <c r="AL565" s="229"/>
      <c r="AM565" s="229"/>
      <c r="AN565" s="229"/>
      <c r="AO565" s="229"/>
      <c r="AP565" s="229"/>
      <c r="AQ565" s="229"/>
      <c r="AR565" s="229"/>
      <c r="AS565" s="229"/>
      <c r="AT565" s="229"/>
      <c r="AU565" s="229"/>
      <c r="AV565" s="229"/>
      <c r="AW565" s="5"/>
      <c r="AX565" s="5"/>
      <c r="AY565" s="5"/>
      <c r="AZ565" s="5"/>
      <c r="BA565" s="5"/>
      <c r="BB565" s="5"/>
      <c r="BC565" s="5"/>
      <c r="BD565" s="5"/>
      <c r="BE565" s="5"/>
      <c r="BF565" s="5"/>
      <c r="BG565" s="5"/>
    </row>
    <row r="566" customFormat="false" ht="1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212"/>
      <c r="V566" s="212"/>
      <c r="W566" s="212"/>
      <c r="X566" s="212"/>
      <c r="Y566" s="212"/>
      <c r="Z566" s="212"/>
      <c r="AA566" s="212"/>
      <c r="AB566" s="212"/>
      <c r="AC566" s="241" t="n">
        <v>325</v>
      </c>
      <c r="AD566" s="243" t="s">
        <v>906</v>
      </c>
      <c r="AE566" s="229"/>
      <c r="AF566" s="229"/>
      <c r="AG566" s="229"/>
      <c r="AH566" s="238"/>
      <c r="AI566" s="240"/>
      <c r="AJ566" s="229"/>
      <c r="AK566" s="231"/>
      <c r="AL566" s="229"/>
      <c r="AM566" s="229"/>
      <c r="AN566" s="229"/>
      <c r="AO566" s="229"/>
      <c r="AP566" s="229"/>
      <c r="AQ566" s="229"/>
      <c r="AR566" s="229"/>
      <c r="AS566" s="229"/>
      <c r="AT566" s="229"/>
      <c r="AU566" s="229"/>
      <c r="AV566" s="229"/>
      <c r="AW566" s="5"/>
      <c r="AX566" s="5"/>
      <c r="AY566" s="5"/>
      <c r="AZ566" s="5"/>
      <c r="BA566" s="5"/>
      <c r="BB566" s="5"/>
      <c r="BC566" s="5"/>
      <c r="BD566" s="5"/>
      <c r="BE566" s="5"/>
      <c r="BF566" s="5"/>
      <c r="BG566" s="5"/>
    </row>
    <row r="567" customFormat="false" ht="1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212"/>
      <c r="V567" s="212"/>
      <c r="W567" s="212"/>
      <c r="X567" s="212"/>
      <c r="Y567" s="212"/>
      <c r="Z567" s="212"/>
      <c r="AA567" s="212"/>
      <c r="AB567" s="212"/>
      <c r="AC567" s="241" t="n">
        <v>326</v>
      </c>
      <c r="AD567" s="243" t="s">
        <v>907</v>
      </c>
      <c r="AE567" s="229"/>
      <c r="AF567" s="229"/>
      <c r="AG567" s="229"/>
      <c r="AH567" s="238"/>
      <c r="AI567" s="240"/>
      <c r="AJ567" s="229"/>
      <c r="AK567" s="231"/>
      <c r="AL567" s="229"/>
      <c r="AM567" s="229"/>
      <c r="AN567" s="229"/>
      <c r="AO567" s="229"/>
      <c r="AP567" s="229"/>
      <c r="AQ567" s="229"/>
      <c r="AR567" s="229"/>
      <c r="AS567" s="229"/>
      <c r="AT567" s="229"/>
      <c r="AU567" s="229"/>
      <c r="AV567" s="229"/>
      <c r="AW567" s="5"/>
      <c r="AX567" s="5"/>
      <c r="AY567" s="5"/>
      <c r="AZ567" s="5"/>
      <c r="BA567" s="5"/>
      <c r="BB567" s="5"/>
      <c r="BC567" s="5"/>
      <c r="BD567" s="5"/>
      <c r="BE567" s="5"/>
      <c r="BF567" s="5"/>
      <c r="BG567" s="5"/>
    </row>
    <row r="568" customFormat="false" ht="1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212"/>
      <c r="V568" s="212"/>
      <c r="W568" s="212"/>
      <c r="X568" s="212"/>
      <c r="Y568" s="212"/>
      <c r="Z568" s="212"/>
      <c r="AA568" s="212"/>
      <c r="AB568" s="212"/>
      <c r="AC568" s="241" t="n">
        <v>327</v>
      </c>
      <c r="AD568" s="243" t="s">
        <v>908</v>
      </c>
      <c r="AE568" s="229"/>
      <c r="AF568" s="229"/>
      <c r="AG568" s="229"/>
      <c r="AH568" s="238"/>
      <c r="AI568" s="240"/>
      <c r="AJ568" s="229"/>
      <c r="AK568" s="231"/>
      <c r="AL568" s="229"/>
      <c r="AM568" s="229"/>
      <c r="AN568" s="229"/>
      <c r="AO568" s="229"/>
      <c r="AP568" s="229"/>
      <c r="AQ568" s="229"/>
      <c r="AR568" s="229"/>
      <c r="AS568" s="229"/>
      <c r="AT568" s="229"/>
      <c r="AU568" s="229"/>
      <c r="AV568" s="229"/>
      <c r="AW568" s="5"/>
      <c r="AX568" s="5"/>
      <c r="AY568" s="5"/>
      <c r="AZ568" s="5"/>
      <c r="BA568" s="5"/>
      <c r="BB568" s="5"/>
      <c r="BC568" s="5"/>
      <c r="BD568" s="5"/>
      <c r="BE568" s="5"/>
      <c r="BF568" s="5"/>
      <c r="BG568" s="5"/>
    </row>
    <row r="569" customFormat="false" ht="1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212"/>
      <c r="V569" s="212"/>
      <c r="W569" s="212"/>
      <c r="X569" s="212"/>
      <c r="Y569" s="212"/>
      <c r="Z569" s="212"/>
      <c r="AA569" s="212"/>
      <c r="AB569" s="212"/>
      <c r="AC569" s="241" t="n">
        <v>328</v>
      </c>
      <c r="AD569" s="243" t="s">
        <v>909</v>
      </c>
      <c r="AE569" s="229"/>
      <c r="AF569" s="229"/>
      <c r="AG569" s="229"/>
      <c r="AH569" s="238"/>
      <c r="AI569" s="240"/>
      <c r="AJ569" s="229"/>
      <c r="AK569" s="231"/>
      <c r="AL569" s="229"/>
      <c r="AM569" s="229"/>
      <c r="AN569" s="229"/>
      <c r="AO569" s="229"/>
      <c r="AP569" s="229"/>
      <c r="AQ569" s="229"/>
      <c r="AR569" s="229"/>
      <c r="AS569" s="229"/>
      <c r="AT569" s="229"/>
      <c r="AU569" s="229"/>
      <c r="AV569" s="229"/>
      <c r="AW569" s="5"/>
      <c r="AX569" s="5"/>
      <c r="AY569" s="5"/>
      <c r="AZ569" s="5"/>
      <c r="BA569" s="5"/>
      <c r="BB569" s="5"/>
      <c r="BC569" s="5"/>
      <c r="BD569" s="5"/>
      <c r="BE569" s="5"/>
      <c r="BF569" s="5"/>
      <c r="BG569" s="5"/>
    </row>
    <row r="570" customFormat="false" ht="1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212"/>
      <c r="V570" s="212"/>
      <c r="W570" s="212"/>
      <c r="X570" s="212"/>
      <c r="Y570" s="212"/>
      <c r="Z570" s="212"/>
      <c r="AA570" s="212"/>
      <c r="AB570" s="212"/>
      <c r="AC570" s="241" t="n">
        <v>329</v>
      </c>
      <c r="AD570" s="243" t="s">
        <v>910</v>
      </c>
      <c r="AE570" s="229"/>
      <c r="AF570" s="229"/>
      <c r="AG570" s="229"/>
      <c r="AH570" s="238"/>
      <c r="AI570" s="240"/>
      <c r="AJ570" s="229"/>
      <c r="AK570" s="231"/>
      <c r="AL570" s="229"/>
      <c r="AM570" s="229"/>
      <c r="AN570" s="229"/>
      <c r="AO570" s="229"/>
      <c r="AP570" s="229"/>
      <c r="AQ570" s="229"/>
      <c r="AR570" s="229"/>
      <c r="AS570" s="229"/>
      <c r="AT570" s="229"/>
      <c r="AU570" s="229"/>
      <c r="AV570" s="229"/>
      <c r="AW570" s="5"/>
      <c r="AX570" s="5"/>
      <c r="AY570" s="5"/>
      <c r="AZ570" s="5"/>
      <c r="BA570" s="5"/>
      <c r="BB570" s="5"/>
      <c r="BC570" s="5"/>
      <c r="BD570" s="5"/>
      <c r="BE570" s="5"/>
      <c r="BF570" s="5"/>
      <c r="BG570" s="5"/>
    </row>
    <row r="571" customFormat="false" ht="1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212"/>
      <c r="V571" s="212"/>
      <c r="W571" s="212"/>
      <c r="X571" s="212"/>
      <c r="Y571" s="212"/>
      <c r="Z571" s="212"/>
      <c r="AA571" s="212"/>
      <c r="AB571" s="212"/>
      <c r="AC571" s="241" t="n">
        <v>330</v>
      </c>
      <c r="AD571" s="243" t="s">
        <v>911</v>
      </c>
      <c r="AE571" s="229"/>
      <c r="AF571" s="229"/>
      <c r="AG571" s="229"/>
      <c r="AH571" s="238"/>
      <c r="AI571" s="240"/>
      <c r="AJ571" s="229"/>
      <c r="AK571" s="231"/>
      <c r="AL571" s="229"/>
      <c r="AM571" s="229"/>
      <c r="AN571" s="229"/>
      <c r="AO571" s="229"/>
      <c r="AP571" s="229"/>
      <c r="AQ571" s="229"/>
      <c r="AR571" s="229"/>
      <c r="AS571" s="229"/>
      <c r="AT571" s="229"/>
      <c r="AU571" s="229"/>
      <c r="AV571" s="229"/>
      <c r="AW571" s="5"/>
      <c r="AX571" s="5"/>
      <c r="AY571" s="5"/>
      <c r="AZ571" s="5"/>
      <c r="BA571" s="5"/>
      <c r="BB571" s="5"/>
      <c r="BC571" s="5"/>
      <c r="BD571" s="5"/>
      <c r="BE571" s="5"/>
      <c r="BF571" s="5"/>
      <c r="BG571" s="5"/>
    </row>
    <row r="572" customFormat="false" ht="1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212"/>
      <c r="V572" s="212"/>
      <c r="W572" s="212"/>
      <c r="X572" s="212"/>
      <c r="Y572" s="212"/>
      <c r="Z572" s="212"/>
      <c r="AA572" s="212"/>
      <c r="AB572" s="212"/>
      <c r="AC572" s="241" t="n">
        <v>331</v>
      </c>
      <c r="AD572" s="243" t="s">
        <v>912</v>
      </c>
      <c r="AE572" s="229"/>
      <c r="AF572" s="229"/>
      <c r="AG572" s="229"/>
      <c r="AH572" s="238"/>
      <c r="AI572" s="240"/>
      <c r="AJ572" s="229"/>
      <c r="AK572" s="231"/>
      <c r="AL572" s="229"/>
      <c r="AM572" s="229"/>
      <c r="AN572" s="229"/>
      <c r="AO572" s="229"/>
      <c r="AP572" s="229"/>
      <c r="AQ572" s="229"/>
      <c r="AR572" s="229"/>
      <c r="AS572" s="229"/>
      <c r="AT572" s="229"/>
      <c r="AU572" s="229"/>
      <c r="AV572" s="229"/>
      <c r="AW572" s="5"/>
      <c r="AX572" s="5"/>
      <c r="AY572" s="5"/>
      <c r="AZ572" s="5"/>
      <c r="BA572" s="5"/>
      <c r="BB572" s="5"/>
      <c r="BC572" s="5"/>
      <c r="BD572" s="5"/>
      <c r="BE572" s="5"/>
      <c r="BF572" s="5"/>
      <c r="BG572" s="5"/>
    </row>
    <row r="573" customFormat="false" ht="1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212"/>
      <c r="V573" s="212"/>
      <c r="W573" s="212"/>
      <c r="X573" s="212"/>
      <c r="Y573" s="212"/>
      <c r="Z573" s="212"/>
      <c r="AA573" s="212"/>
      <c r="AB573" s="212"/>
      <c r="AC573" s="241" t="n">
        <v>332</v>
      </c>
      <c r="AD573" s="243" t="s">
        <v>913</v>
      </c>
      <c r="AE573" s="229"/>
      <c r="AF573" s="229"/>
      <c r="AG573" s="229"/>
      <c r="AH573" s="238"/>
      <c r="AI573" s="240"/>
      <c r="AJ573" s="229"/>
      <c r="AK573" s="231"/>
      <c r="AL573" s="229"/>
      <c r="AM573" s="229"/>
      <c r="AN573" s="229"/>
      <c r="AO573" s="229"/>
      <c r="AP573" s="229"/>
      <c r="AQ573" s="229"/>
      <c r="AR573" s="229"/>
      <c r="AS573" s="229"/>
      <c r="AT573" s="229"/>
      <c r="AU573" s="229"/>
      <c r="AV573" s="229"/>
      <c r="AW573" s="5"/>
      <c r="AX573" s="5"/>
      <c r="AY573" s="5"/>
      <c r="AZ573" s="5"/>
      <c r="BA573" s="5"/>
      <c r="BB573" s="5"/>
      <c r="BC573" s="5"/>
      <c r="BD573" s="5"/>
      <c r="BE573" s="5"/>
      <c r="BF573" s="5"/>
      <c r="BG573" s="5"/>
    </row>
    <row r="574" customFormat="false" ht="1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212"/>
      <c r="V574" s="212"/>
      <c r="W574" s="212"/>
      <c r="X574" s="212"/>
      <c r="Y574" s="212"/>
      <c r="Z574" s="212"/>
      <c r="AA574" s="212"/>
      <c r="AB574" s="212"/>
      <c r="AC574" s="241" t="n">
        <v>333</v>
      </c>
      <c r="AD574" s="243" t="s">
        <v>914</v>
      </c>
      <c r="AE574" s="229"/>
      <c r="AF574" s="229"/>
      <c r="AG574" s="229"/>
      <c r="AH574" s="238"/>
      <c r="AI574" s="240"/>
      <c r="AJ574" s="229"/>
      <c r="AK574" s="231"/>
      <c r="AL574" s="229"/>
      <c r="AM574" s="229"/>
      <c r="AN574" s="229"/>
      <c r="AO574" s="229"/>
      <c r="AP574" s="229"/>
      <c r="AQ574" s="229"/>
      <c r="AR574" s="229"/>
      <c r="AS574" s="229"/>
      <c r="AT574" s="229"/>
      <c r="AU574" s="229"/>
      <c r="AV574" s="229"/>
      <c r="AW574" s="5"/>
      <c r="AX574" s="5"/>
      <c r="AY574" s="5"/>
      <c r="AZ574" s="5"/>
      <c r="BA574" s="5"/>
      <c r="BB574" s="5"/>
      <c r="BC574" s="5"/>
      <c r="BD574" s="5"/>
      <c r="BE574" s="5"/>
      <c r="BF574" s="5"/>
      <c r="BG574" s="5"/>
    </row>
    <row r="575" customFormat="false" ht="1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212"/>
      <c r="V575" s="212"/>
      <c r="W575" s="212"/>
      <c r="X575" s="212"/>
      <c r="Y575" s="212"/>
      <c r="Z575" s="212"/>
      <c r="AA575" s="212"/>
      <c r="AB575" s="212"/>
      <c r="AC575" s="241" t="n">
        <v>334</v>
      </c>
      <c r="AD575" s="243" t="s">
        <v>915</v>
      </c>
      <c r="AE575" s="229"/>
      <c r="AF575" s="229"/>
      <c r="AG575" s="229"/>
      <c r="AH575" s="238"/>
      <c r="AI575" s="240"/>
      <c r="AJ575" s="229"/>
      <c r="AK575" s="231"/>
      <c r="AL575" s="229"/>
      <c r="AM575" s="229"/>
      <c r="AN575" s="229"/>
      <c r="AO575" s="229"/>
      <c r="AP575" s="229"/>
      <c r="AQ575" s="229"/>
      <c r="AR575" s="229"/>
      <c r="AS575" s="229"/>
      <c r="AT575" s="229"/>
      <c r="AU575" s="229"/>
      <c r="AV575" s="229"/>
      <c r="AW575" s="5"/>
      <c r="AX575" s="5"/>
      <c r="AY575" s="5"/>
      <c r="AZ575" s="5"/>
      <c r="BA575" s="5"/>
      <c r="BB575" s="5"/>
      <c r="BC575" s="5"/>
      <c r="BD575" s="5"/>
      <c r="BE575" s="5"/>
      <c r="BF575" s="5"/>
      <c r="BG575" s="5"/>
    </row>
    <row r="576" customFormat="false" ht="1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212"/>
      <c r="V576" s="212"/>
      <c r="W576" s="212"/>
      <c r="X576" s="212"/>
      <c r="Y576" s="212"/>
      <c r="Z576" s="212"/>
      <c r="AA576" s="212"/>
      <c r="AB576" s="212"/>
      <c r="AC576" s="241" t="n">
        <v>335</v>
      </c>
      <c r="AD576" s="243" t="s">
        <v>916</v>
      </c>
      <c r="AE576" s="229"/>
      <c r="AF576" s="229"/>
      <c r="AG576" s="229"/>
      <c r="AH576" s="238"/>
      <c r="AI576" s="240"/>
      <c r="AJ576" s="229"/>
      <c r="AK576" s="231"/>
      <c r="AL576" s="229"/>
      <c r="AM576" s="229"/>
      <c r="AN576" s="229"/>
      <c r="AO576" s="229"/>
      <c r="AP576" s="229"/>
      <c r="AQ576" s="229"/>
      <c r="AR576" s="229"/>
      <c r="AS576" s="229"/>
      <c r="AT576" s="229"/>
      <c r="AU576" s="229"/>
      <c r="AV576" s="229"/>
      <c r="AW576" s="5"/>
      <c r="AX576" s="5"/>
      <c r="AY576" s="5"/>
      <c r="AZ576" s="5"/>
      <c r="BA576" s="5"/>
      <c r="BB576" s="5"/>
      <c r="BC576" s="5"/>
      <c r="BD576" s="5"/>
      <c r="BE576" s="5"/>
      <c r="BF576" s="5"/>
      <c r="BG576" s="5"/>
    </row>
    <row r="577" customFormat="false" ht="1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212"/>
      <c r="V577" s="212"/>
      <c r="W577" s="212"/>
      <c r="X577" s="212"/>
      <c r="Y577" s="212"/>
      <c r="Z577" s="212"/>
      <c r="AA577" s="212"/>
      <c r="AB577" s="212"/>
      <c r="AC577" s="241" t="n">
        <v>336</v>
      </c>
      <c r="AD577" s="243" t="s">
        <v>917</v>
      </c>
      <c r="AE577" s="229"/>
      <c r="AF577" s="229"/>
      <c r="AG577" s="229"/>
      <c r="AH577" s="238"/>
      <c r="AI577" s="240"/>
      <c r="AJ577" s="229"/>
      <c r="AK577" s="231"/>
      <c r="AL577" s="229"/>
      <c r="AM577" s="229"/>
      <c r="AN577" s="229"/>
      <c r="AO577" s="229"/>
      <c r="AP577" s="229"/>
      <c r="AQ577" s="229"/>
      <c r="AR577" s="229"/>
      <c r="AS577" s="229"/>
      <c r="AT577" s="229"/>
      <c r="AU577" s="229"/>
      <c r="AV577" s="229"/>
      <c r="AW577" s="5"/>
      <c r="AX577" s="5"/>
      <c r="AY577" s="5"/>
      <c r="AZ577" s="5"/>
      <c r="BA577" s="5"/>
      <c r="BB577" s="5"/>
      <c r="BC577" s="5"/>
      <c r="BD577" s="5"/>
      <c r="BE577" s="5"/>
      <c r="BF577" s="5"/>
      <c r="BG577" s="5"/>
    </row>
    <row r="578" customFormat="false" ht="1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212"/>
      <c r="V578" s="212"/>
      <c r="W578" s="212"/>
      <c r="X578" s="212"/>
      <c r="Y578" s="212"/>
      <c r="Z578" s="212"/>
      <c r="AA578" s="212"/>
      <c r="AB578" s="212"/>
      <c r="AC578" s="241" t="n">
        <v>337</v>
      </c>
      <c r="AD578" s="243" t="s">
        <v>918</v>
      </c>
      <c r="AE578" s="229"/>
      <c r="AF578" s="229"/>
      <c r="AG578" s="229"/>
      <c r="AH578" s="238"/>
      <c r="AI578" s="240"/>
      <c r="AJ578" s="229"/>
      <c r="AK578" s="231"/>
      <c r="AL578" s="229"/>
      <c r="AM578" s="229"/>
      <c r="AN578" s="229"/>
      <c r="AO578" s="229"/>
      <c r="AP578" s="229"/>
      <c r="AQ578" s="229"/>
      <c r="AR578" s="229"/>
      <c r="AS578" s="229"/>
      <c r="AT578" s="229"/>
      <c r="AU578" s="229"/>
      <c r="AV578" s="229"/>
      <c r="AW578" s="5"/>
      <c r="AX578" s="5"/>
      <c r="AY578" s="5"/>
      <c r="AZ578" s="5"/>
      <c r="BA578" s="5"/>
      <c r="BB578" s="5"/>
      <c r="BC578" s="5"/>
      <c r="BD578" s="5"/>
      <c r="BE578" s="5"/>
      <c r="BF578" s="5"/>
      <c r="BG578" s="5"/>
    </row>
    <row r="579" customFormat="false" ht="1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212"/>
      <c r="V579" s="212"/>
      <c r="W579" s="212"/>
      <c r="X579" s="212"/>
      <c r="Y579" s="212"/>
      <c r="Z579" s="212"/>
      <c r="AA579" s="212"/>
      <c r="AB579" s="212"/>
      <c r="AC579" s="241" t="n">
        <v>338</v>
      </c>
      <c r="AD579" s="243" t="s">
        <v>919</v>
      </c>
      <c r="AE579" s="229"/>
      <c r="AF579" s="229"/>
      <c r="AG579" s="229"/>
      <c r="AH579" s="238"/>
      <c r="AI579" s="240"/>
      <c r="AJ579" s="229"/>
      <c r="AK579" s="231"/>
      <c r="AL579" s="229"/>
      <c r="AM579" s="229"/>
      <c r="AN579" s="229"/>
      <c r="AO579" s="229"/>
      <c r="AP579" s="229"/>
      <c r="AQ579" s="229"/>
      <c r="AR579" s="229"/>
      <c r="AS579" s="229"/>
      <c r="AT579" s="229"/>
      <c r="AU579" s="229"/>
      <c r="AV579" s="229"/>
      <c r="AW579" s="5"/>
      <c r="AX579" s="5"/>
      <c r="AY579" s="5"/>
      <c r="AZ579" s="5"/>
      <c r="BA579" s="5"/>
      <c r="BB579" s="5"/>
      <c r="BC579" s="5"/>
      <c r="BD579" s="5"/>
      <c r="BE579" s="5"/>
      <c r="BF579" s="5"/>
      <c r="BG579" s="5"/>
    </row>
    <row r="580" customFormat="false" ht="1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212"/>
      <c r="V580" s="212"/>
      <c r="W580" s="212"/>
      <c r="X580" s="212"/>
      <c r="Y580" s="212"/>
      <c r="Z580" s="212"/>
      <c r="AA580" s="212"/>
      <c r="AB580" s="212"/>
      <c r="AC580" s="241" t="n">
        <v>339</v>
      </c>
      <c r="AD580" s="243" t="s">
        <v>920</v>
      </c>
      <c r="AE580" s="229"/>
      <c r="AF580" s="229"/>
      <c r="AG580" s="229"/>
      <c r="AH580" s="238"/>
      <c r="AI580" s="240"/>
      <c r="AJ580" s="229"/>
      <c r="AK580" s="231"/>
      <c r="AL580" s="229"/>
      <c r="AM580" s="229"/>
      <c r="AN580" s="229"/>
      <c r="AO580" s="229"/>
      <c r="AP580" s="229"/>
      <c r="AQ580" s="229"/>
      <c r="AR580" s="229"/>
      <c r="AS580" s="229"/>
      <c r="AT580" s="229"/>
      <c r="AU580" s="229"/>
      <c r="AV580" s="229"/>
      <c r="AW580" s="5"/>
      <c r="AX580" s="5"/>
      <c r="AY580" s="5"/>
      <c r="AZ580" s="5"/>
      <c r="BA580" s="5"/>
      <c r="BB580" s="5"/>
      <c r="BC580" s="5"/>
      <c r="BD580" s="5"/>
      <c r="BE580" s="5"/>
      <c r="BF580" s="5"/>
      <c r="BG580" s="5"/>
    </row>
    <row r="581" customFormat="false" ht="1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212"/>
      <c r="V581" s="212"/>
      <c r="W581" s="212"/>
      <c r="X581" s="212"/>
      <c r="Y581" s="212"/>
      <c r="Z581" s="212"/>
      <c r="AA581" s="212"/>
      <c r="AB581" s="212"/>
      <c r="AC581" s="241" t="n">
        <v>340</v>
      </c>
      <c r="AD581" s="243" t="s">
        <v>921</v>
      </c>
      <c r="AE581" s="229"/>
      <c r="AF581" s="229"/>
      <c r="AG581" s="229"/>
      <c r="AH581" s="238"/>
      <c r="AI581" s="240"/>
      <c r="AJ581" s="229"/>
      <c r="AK581" s="231"/>
      <c r="AL581" s="229"/>
      <c r="AM581" s="229"/>
      <c r="AN581" s="229"/>
      <c r="AO581" s="229"/>
      <c r="AP581" s="229"/>
      <c r="AQ581" s="229"/>
      <c r="AR581" s="229"/>
      <c r="AS581" s="229"/>
      <c r="AT581" s="229"/>
      <c r="AU581" s="229"/>
      <c r="AV581" s="229"/>
      <c r="AW581" s="5"/>
      <c r="AX581" s="5"/>
      <c r="AY581" s="5"/>
      <c r="AZ581" s="5"/>
      <c r="BA581" s="5"/>
      <c r="BB581" s="5"/>
      <c r="BC581" s="5"/>
      <c r="BD581" s="5"/>
      <c r="BE581" s="5"/>
      <c r="BF581" s="5"/>
      <c r="BG581" s="5"/>
    </row>
    <row r="582" customFormat="false" ht="1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212"/>
      <c r="V582" s="212"/>
      <c r="W582" s="212"/>
      <c r="X582" s="212"/>
      <c r="Y582" s="212"/>
      <c r="Z582" s="212"/>
      <c r="AA582" s="212"/>
      <c r="AB582" s="212"/>
      <c r="AC582" s="241" t="n">
        <v>341</v>
      </c>
      <c r="AD582" s="243" t="s">
        <v>922</v>
      </c>
      <c r="AE582" s="229"/>
      <c r="AF582" s="229"/>
      <c r="AG582" s="229"/>
      <c r="AH582" s="238"/>
      <c r="AI582" s="240"/>
      <c r="AJ582" s="229"/>
      <c r="AK582" s="231"/>
      <c r="AL582" s="229"/>
      <c r="AM582" s="229"/>
      <c r="AN582" s="229"/>
      <c r="AO582" s="229"/>
      <c r="AP582" s="229"/>
      <c r="AQ582" s="229"/>
      <c r="AR582" s="229"/>
      <c r="AS582" s="229"/>
      <c r="AT582" s="229"/>
      <c r="AU582" s="229"/>
      <c r="AV582" s="229"/>
      <c r="AW582" s="5"/>
      <c r="AX582" s="5"/>
      <c r="AY582" s="5"/>
      <c r="AZ582" s="5"/>
      <c r="BA582" s="5"/>
      <c r="BB582" s="5"/>
      <c r="BC582" s="5"/>
      <c r="BD582" s="5"/>
      <c r="BE582" s="5"/>
      <c r="BF582" s="5"/>
      <c r="BG582" s="5"/>
    </row>
    <row r="583" customFormat="false" ht="1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212"/>
      <c r="V583" s="212"/>
      <c r="W583" s="212"/>
      <c r="X583" s="212"/>
      <c r="Y583" s="212"/>
      <c r="Z583" s="212"/>
      <c r="AA583" s="212"/>
      <c r="AB583" s="212"/>
      <c r="AC583" s="241" t="n">
        <v>342</v>
      </c>
      <c r="AD583" s="243" t="s">
        <v>923</v>
      </c>
      <c r="AE583" s="229"/>
      <c r="AF583" s="229"/>
      <c r="AG583" s="229"/>
      <c r="AH583" s="238"/>
      <c r="AI583" s="240"/>
      <c r="AJ583" s="229"/>
      <c r="AK583" s="231"/>
      <c r="AL583" s="229"/>
      <c r="AM583" s="229"/>
      <c r="AN583" s="229"/>
      <c r="AO583" s="229"/>
      <c r="AP583" s="229"/>
      <c r="AQ583" s="229"/>
      <c r="AR583" s="229"/>
      <c r="AS583" s="229"/>
      <c r="AT583" s="229"/>
      <c r="AU583" s="229"/>
      <c r="AV583" s="229"/>
      <c r="AW583" s="5"/>
      <c r="AX583" s="5"/>
      <c r="AY583" s="5"/>
      <c r="AZ583" s="5"/>
      <c r="BA583" s="5"/>
      <c r="BB583" s="5"/>
      <c r="BC583" s="5"/>
      <c r="BD583" s="5"/>
      <c r="BE583" s="5"/>
      <c r="BF583" s="5"/>
      <c r="BG583" s="5"/>
    </row>
    <row r="584" customFormat="false" ht="1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212"/>
      <c r="V584" s="212"/>
      <c r="W584" s="212"/>
      <c r="X584" s="212"/>
      <c r="Y584" s="212"/>
      <c r="Z584" s="212"/>
      <c r="AA584" s="212"/>
      <c r="AB584" s="212"/>
      <c r="AC584" s="241" t="n">
        <v>343</v>
      </c>
      <c r="AD584" s="243" t="s">
        <v>924</v>
      </c>
      <c r="AE584" s="229"/>
      <c r="AF584" s="229"/>
      <c r="AG584" s="229"/>
      <c r="AH584" s="238"/>
      <c r="AI584" s="240"/>
      <c r="AJ584" s="229"/>
      <c r="AK584" s="231"/>
      <c r="AL584" s="229"/>
      <c r="AM584" s="229"/>
      <c r="AN584" s="229"/>
      <c r="AO584" s="229"/>
      <c r="AP584" s="229"/>
      <c r="AQ584" s="229"/>
      <c r="AR584" s="229"/>
      <c r="AS584" s="229"/>
      <c r="AT584" s="229"/>
      <c r="AU584" s="229"/>
      <c r="AV584" s="229"/>
      <c r="AW584" s="5"/>
      <c r="AX584" s="5"/>
      <c r="AY584" s="5"/>
      <c r="AZ584" s="5"/>
      <c r="BA584" s="5"/>
      <c r="BB584" s="5"/>
      <c r="BC584" s="5"/>
      <c r="BD584" s="5"/>
      <c r="BE584" s="5"/>
      <c r="BF584" s="5"/>
      <c r="BG584" s="5"/>
    </row>
    <row r="585" customFormat="false" ht="1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212"/>
      <c r="V585" s="212"/>
      <c r="W585" s="212"/>
      <c r="X585" s="212"/>
      <c r="Y585" s="212"/>
      <c r="Z585" s="212"/>
      <c r="AA585" s="212"/>
      <c r="AB585" s="212"/>
      <c r="AC585" s="241" t="n">
        <v>344</v>
      </c>
      <c r="AD585" s="243" t="s">
        <v>925</v>
      </c>
      <c r="AE585" s="229"/>
      <c r="AF585" s="229"/>
      <c r="AG585" s="229"/>
      <c r="AH585" s="238"/>
      <c r="AI585" s="240"/>
      <c r="AJ585" s="229"/>
      <c r="AK585" s="231"/>
      <c r="AL585" s="229"/>
      <c r="AM585" s="229"/>
      <c r="AN585" s="229"/>
      <c r="AO585" s="229"/>
      <c r="AP585" s="229"/>
      <c r="AQ585" s="229"/>
      <c r="AR585" s="229"/>
      <c r="AS585" s="229"/>
      <c r="AT585" s="229"/>
      <c r="AU585" s="229"/>
      <c r="AV585" s="229"/>
      <c r="AW585" s="5"/>
      <c r="AX585" s="5"/>
      <c r="AY585" s="5"/>
      <c r="AZ585" s="5"/>
      <c r="BA585" s="5"/>
      <c r="BB585" s="5"/>
      <c r="BC585" s="5"/>
      <c r="BD585" s="5"/>
      <c r="BE585" s="5"/>
      <c r="BF585" s="5"/>
      <c r="BG585" s="5"/>
    </row>
    <row r="586" customFormat="false" ht="1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212"/>
      <c r="V586" s="212"/>
      <c r="W586" s="212"/>
      <c r="X586" s="212"/>
      <c r="Y586" s="212"/>
      <c r="Z586" s="212"/>
      <c r="AA586" s="212"/>
      <c r="AB586" s="212"/>
      <c r="AC586" s="241" t="n">
        <v>345</v>
      </c>
      <c r="AD586" s="243" t="s">
        <v>926</v>
      </c>
      <c r="AE586" s="229"/>
      <c r="AF586" s="229"/>
      <c r="AG586" s="229"/>
      <c r="AH586" s="238"/>
      <c r="AI586" s="240"/>
      <c r="AJ586" s="229"/>
      <c r="AK586" s="231"/>
      <c r="AL586" s="229"/>
      <c r="AM586" s="229"/>
      <c r="AN586" s="229"/>
      <c r="AO586" s="229"/>
      <c r="AP586" s="229"/>
      <c r="AQ586" s="229"/>
      <c r="AR586" s="229"/>
      <c r="AS586" s="229"/>
      <c r="AT586" s="229"/>
      <c r="AU586" s="229"/>
      <c r="AV586" s="229"/>
      <c r="AW586" s="5"/>
      <c r="AX586" s="5"/>
      <c r="AY586" s="5"/>
      <c r="AZ586" s="5"/>
      <c r="BA586" s="5"/>
      <c r="BB586" s="5"/>
      <c r="BC586" s="5"/>
      <c r="BD586" s="5"/>
      <c r="BE586" s="5"/>
      <c r="BF586" s="5"/>
      <c r="BG586" s="5"/>
    </row>
    <row r="587" customFormat="false" ht="1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212"/>
      <c r="V587" s="212"/>
      <c r="W587" s="212"/>
      <c r="X587" s="212"/>
      <c r="Y587" s="212"/>
      <c r="Z587" s="212"/>
      <c r="AA587" s="212"/>
      <c r="AB587" s="212"/>
      <c r="AC587" s="241" t="n">
        <v>346</v>
      </c>
      <c r="AD587" s="243" t="s">
        <v>927</v>
      </c>
      <c r="AE587" s="229"/>
      <c r="AF587" s="229"/>
      <c r="AG587" s="229"/>
      <c r="AH587" s="238"/>
      <c r="AI587" s="240"/>
      <c r="AJ587" s="229"/>
      <c r="AK587" s="231"/>
      <c r="AL587" s="229"/>
      <c r="AM587" s="229"/>
      <c r="AN587" s="229"/>
      <c r="AO587" s="229"/>
      <c r="AP587" s="229"/>
      <c r="AQ587" s="229"/>
      <c r="AR587" s="229"/>
      <c r="AS587" s="229"/>
      <c r="AT587" s="229"/>
      <c r="AU587" s="229"/>
      <c r="AV587" s="229"/>
      <c r="AW587" s="5"/>
      <c r="AX587" s="5"/>
      <c r="AY587" s="5"/>
      <c r="AZ587" s="5"/>
      <c r="BA587" s="5"/>
      <c r="BB587" s="5"/>
      <c r="BC587" s="5"/>
      <c r="BD587" s="5"/>
      <c r="BE587" s="5"/>
      <c r="BF587" s="5"/>
      <c r="BG587" s="5"/>
    </row>
    <row r="588" customFormat="false" ht="1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212"/>
      <c r="V588" s="212"/>
      <c r="W588" s="212"/>
      <c r="X588" s="212"/>
      <c r="Y588" s="212"/>
      <c r="Z588" s="212"/>
      <c r="AA588" s="212"/>
      <c r="AB588" s="212"/>
      <c r="AC588" s="241" t="n">
        <v>347</v>
      </c>
      <c r="AD588" s="243" t="s">
        <v>928</v>
      </c>
      <c r="AE588" s="229"/>
      <c r="AF588" s="229"/>
      <c r="AG588" s="229"/>
      <c r="AH588" s="238"/>
      <c r="AI588" s="240"/>
      <c r="AJ588" s="229"/>
      <c r="AK588" s="231"/>
      <c r="AL588" s="229"/>
      <c r="AM588" s="229"/>
      <c r="AN588" s="229"/>
      <c r="AO588" s="229"/>
      <c r="AP588" s="229"/>
      <c r="AQ588" s="229"/>
      <c r="AR588" s="229"/>
      <c r="AS588" s="229"/>
      <c r="AT588" s="229"/>
      <c r="AU588" s="229"/>
      <c r="AV588" s="229"/>
      <c r="AW588" s="5"/>
      <c r="AX588" s="5"/>
      <c r="AY588" s="5"/>
      <c r="AZ588" s="5"/>
      <c r="BA588" s="5"/>
      <c r="BB588" s="5"/>
      <c r="BC588" s="5"/>
      <c r="BD588" s="5"/>
      <c r="BE588" s="5"/>
      <c r="BF588" s="5"/>
      <c r="BG588" s="5"/>
    </row>
    <row r="589" customFormat="false" ht="1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212"/>
      <c r="V589" s="212"/>
      <c r="W589" s="212"/>
      <c r="X589" s="212"/>
      <c r="Y589" s="212"/>
      <c r="Z589" s="212"/>
      <c r="AA589" s="212"/>
      <c r="AB589" s="212"/>
      <c r="AC589" s="241" t="n">
        <v>348</v>
      </c>
      <c r="AD589" s="243" t="s">
        <v>929</v>
      </c>
      <c r="AE589" s="229"/>
      <c r="AF589" s="229"/>
      <c r="AG589" s="229"/>
      <c r="AH589" s="238"/>
      <c r="AI589" s="240"/>
      <c r="AJ589" s="229"/>
      <c r="AK589" s="231"/>
      <c r="AL589" s="229"/>
      <c r="AM589" s="229"/>
      <c r="AN589" s="229"/>
      <c r="AO589" s="229"/>
      <c r="AP589" s="229"/>
      <c r="AQ589" s="229"/>
      <c r="AR589" s="229"/>
      <c r="AS589" s="229"/>
      <c r="AT589" s="229"/>
      <c r="AU589" s="229"/>
      <c r="AV589" s="229"/>
      <c r="AW589" s="5"/>
      <c r="AX589" s="5"/>
      <c r="AY589" s="5"/>
      <c r="AZ589" s="5"/>
      <c r="BA589" s="5"/>
      <c r="BB589" s="5"/>
      <c r="BC589" s="5"/>
      <c r="BD589" s="5"/>
      <c r="BE589" s="5"/>
      <c r="BF589" s="5"/>
      <c r="BG589" s="5"/>
    </row>
    <row r="590" customFormat="false" ht="1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212"/>
      <c r="V590" s="212"/>
      <c r="W590" s="212"/>
      <c r="X590" s="212"/>
      <c r="Y590" s="212"/>
      <c r="Z590" s="212"/>
      <c r="AA590" s="212"/>
      <c r="AB590" s="212"/>
      <c r="AC590" s="241" t="n">
        <v>349</v>
      </c>
      <c r="AD590" s="243" t="s">
        <v>930</v>
      </c>
      <c r="AE590" s="229"/>
      <c r="AF590" s="229"/>
      <c r="AG590" s="229"/>
      <c r="AH590" s="238"/>
      <c r="AI590" s="240"/>
      <c r="AJ590" s="229"/>
      <c r="AK590" s="231"/>
      <c r="AL590" s="229"/>
      <c r="AM590" s="229"/>
      <c r="AN590" s="229"/>
      <c r="AO590" s="229"/>
      <c r="AP590" s="229"/>
      <c r="AQ590" s="229"/>
      <c r="AR590" s="229"/>
      <c r="AS590" s="229"/>
      <c r="AT590" s="229"/>
      <c r="AU590" s="229"/>
      <c r="AV590" s="229"/>
      <c r="AW590" s="5"/>
      <c r="AX590" s="5"/>
      <c r="AY590" s="5"/>
      <c r="AZ590" s="5"/>
      <c r="BA590" s="5"/>
      <c r="BB590" s="5"/>
      <c r="BC590" s="5"/>
      <c r="BD590" s="5"/>
      <c r="BE590" s="5"/>
      <c r="BF590" s="5"/>
      <c r="BG590" s="5"/>
    </row>
    <row r="591" customFormat="false" ht="1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212"/>
      <c r="V591" s="212"/>
      <c r="W591" s="212"/>
      <c r="X591" s="212"/>
      <c r="Y591" s="212"/>
      <c r="Z591" s="212"/>
      <c r="AA591" s="212"/>
      <c r="AB591" s="212"/>
      <c r="AC591" s="241" t="n">
        <v>350</v>
      </c>
      <c r="AD591" s="243" t="s">
        <v>931</v>
      </c>
      <c r="AE591" s="229"/>
      <c r="AF591" s="229"/>
      <c r="AG591" s="229"/>
      <c r="AH591" s="238"/>
      <c r="AI591" s="240"/>
      <c r="AJ591" s="229"/>
      <c r="AK591" s="231"/>
      <c r="AL591" s="229"/>
      <c r="AM591" s="229"/>
      <c r="AN591" s="229"/>
      <c r="AO591" s="229"/>
      <c r="AP591" s="229"/>
      <c r="AQ591" s="229"/>
      <c r="AR591" s="229"/>
      <c r="AS591" s="229"/>
      <c r="AT591" s="229"/>
      <c r="AU591" s="229"/>
      <c r="AV591" s="229"/>
      <c r="AW591" s="5"/>
      <c r="AX591" s="5"/>
      <c r="AY591" s="5"/>
      <c r="AZ591" s="5"/>
      <c r="BA591" s="5"/>
      <c r="BB591" s="5"/>
      <c r="BC591" s="5"/>
      <c r="BD591" s="5"/>
      <c r="BE591" s="5"/>
      <c r="BF591" s="5"/>
      <c r="BG591" s="5"/>
    </row>
    <row r="592" customFormat="false" ht="1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212"/>
      <c r="V592" s="212"/>
      <c r="W592" s="212"/>
      <c r="X592" s="212"/>
      <c r="Y592" s="212"/>
      <c r="Z592" s="212"/>
      <c r="AA592" s="212"/>
      <c r="AB592" s="212"/>
      <c r="AC592" s="241" t="n">
        <v>351</v>
      </c>
      <c r="AD592" s="243" t="s">
        <v>932</v>
      </c>
      <c r="AE592" s="229"/>
      <c r="AF592" s="229"/>
      <c r="AG592" s="229"/>
      <c r="AH592" s="238"/>
      <c r="AI592" s="240"/>
      <c r="AJ592" s="229"/>
      <c r="AK592" s="231"/>
      <c r="AL592" s="229"/>
      <c r="AM592" s="229"/>
      <c r="AN592" s="229"/>
      <c r="AO592" s="229"/>
      <c r="AP592" s="229"/>
      <c r="AQ592" s="229"/>
      <c r="AR592" s="229"/>
      <c r="AS592" s="229"/>
      <c r="AT592" s="229"/>
      <c r="AU592" s="229"/>
      <c r="AV592" s="229"/>
      <c r="AW592" s="5"/>
      <c r="AX592" s="5"/>
      <c r="AY592" s="5"/>
      <c r="AZ592" s="5"/>
      <c r="BA592" s="5"/>
      <c r="BB592" s="5"/>
      <c r="BC592" s="5"/>
      <c r="BD592" s="5"/>
      <c r="BE592" s="5"/>
      <c r="BF592" s="5"/>
      <c r="BG592" s="5"/>
    </row>
    <row r="593" customFormat="false" ht="1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212"/>
      <c r="V593" s="212"/>
      <c r="W593" s="212"/>
      <c r="X593" s="212"/>
      <c r="Y593" s="212"/>
      <c r="Z593" s="212"/>
      <c r="AA593" s="212"/>
      <c r="AB593" s="212"/>
      <c r="AC593" s="241" t="n">
        <v>352</v>
      </c>
      <c r="AD593" s="243" t="s">
        <v>933</v>
      </c>
      <c r="AE593" s="229"/>
      <c r="AF593" s="229"/>
      <c r="AG593" s="229"/>
      <c r="AH593" s="238"/>
      <c r="AI593" s="240"/>
      <c r="AJ593" s="229"/>
      <c r="AK593" s="231"/>
      <c r="AL593" s="229"/>
      <c r="AM593" s="229"/>
      <c r="AN593" s="229"/>
      <c r="AO593" s="229"/>
      <c r="AP593" s="229"/>
      <c r="AQ593" s="229"/>
      <c r="AR593" s="229"/>
      <c r="AS593" s="229"/>
      <c r="AT593" s="229"/>
      <c r="AU593" s="229"/>
      <c r="AV593" s="229"/>
      <c r="AW593" s="5"/>
      <c r="AX593" s="5"/>
      <c r="AY593" s="5"/>
      <c r="AZ593" s="5"/>
      <c r="BA593" s="5"/>
      <c r="BB593" s="5"/>
      <c r="BC593" s="5"/>
      <c r="BD593" s="5"/>
      <c r="BE593" s="5"/>
      <c r="BF593" s="5"/>
      <c r="BG593" s="5"/>
    </row>
    <row r="594" customFormat="false" ht="1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212"/>
      <c r="V594" s="212"/>
      <c r="W594" s="212"/>
      <c r="X594" s="212"/>
      <c r="Y594" s="212"/>
      <c r="Z594" s="212"/>
      <c r="AA594" s="212"/>
      <c r="AB594" s="212"/>
      <c r="AC594" s="241" t="n">
        <v>353</v>
      </c>
      <c r="AD594" s="243" t="s">
        <v>934</v>
      </c>
      <c r="AE594" s="229"/>
      <c r="AF594" s="229"/>
      <c r="AG594" s="229"/>
      <c r="AH594" s="238"/>
      <c r="AI594" s="240"/>
      <c r="AJ594" s="229"/>
      <c r="AK594" s="231"/>
      <c r="AL594" s="229"/>
      <c r="AM594" s="229"/>
      <c r="AN594" s="229"/>
      <c r="AO594" s="229"/>
      <c r="AP594" s="229"/>
      <c r="AQ594" s="229"/>
      <c r="AR594" s="229"/>
      <c r="AS594" s="229"/>
      <c r="AT594" s="229"/>
      <c r="AU594" s="229"/>
      <c r="AV594" s="229"/>
      <c r="AW594" s="5"/>
      <c r="AX594" s="5"/>
      <c r="AY594" s="5"/>
      <c r="AZ594" s="5"/>
      <c r="BA594" s="5"/>
      <c r="BB594" s="5"/>
      <c r="BC594" s="5"/>
      <c r="BD594" s="5"/>
      <c r="BE594" s="5"/>
      <c r="BF594" s="5"/>
      <c r="BG594" s="5"/>
    </row>
    <row r="595" customFormat="false" ht="1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212"/>
      <c r="V595" s="212"/>
      <c r="W595" s="212"/>
      <c r="X595" s="212"/>
      <c r="Y595" s="212"/>
      <c r="Z595" s="212"/>
      <c r="AA595" s="212"/>
      <c r="AB595" s="212"/>
      <c r="AC595" s="241" t="n">
        <v>354</v>
      </c>
      <c r="AD595" s="243" t="s">
        <v>935</v>
      </c>
      <c r="AE595" s="229"/>
      <c r="AF595" s="229"/>
      <c r="AG595" s="229"/>
      <c r="AH595" s="238"/>
      <c r="AI595" s="240"/>
      <c r="AJ595" s="229"/>
      <c r="AK595" s="231"/>
      <c r="AL595" s="229"/>
      <c r="AM595" s="229"/>
      <c r="AN595" s="229"/>
      <c r="AO595" s="229"/>
      <c r="AP595" s="229"/>
      <c r="AQ595" s="229"/>
      <c r="AR595" s="229"/>
      <c r="AS595" s="229"/>
      <c r="AT595" s="229"/>
      <c r="AU595" s="229"/>
      <c r="AV595" s="229"/>
      <c r="AW595" s="5"/>
      <c r="AX595" s="5"/>
      <c r="AY595" s="5"/>
      <c r="AZ595" s="5"/>
      <c r="BA595" s="5"/>
      <c r="BB595" s="5"/>
      <c r="BC595" s="5"/>
      <c r="BD595" s="5"/>
      <c r="BE595" s="5"/>
      <c r="BF595" s="5"/>
      <c r="BG595" s="5"/>
    </row>
    <row r="596" customFormat="false" ht="1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212"/>
      <c r="V596" s="212"/>
      <c r="W596" s="212"/>
      <c r="X596" s="212"/>
      <c r="Y596" s="212"/>
      <c r="Z596" s="212"/>
      <c r="AA596" s="212"/>
      <c r="AB596" s="212"/>
      <c r="AC596" s="241" t="n">
        <v>355</v>
      </c>
      <c r="AD596" s="243" t="s">
        <v>936</v>
      </c>
      <c r="AE596" s="229"/>
      <c r="AF596" s="229"/>
      <c r="AG596" s="229"/>
      <c r="AH596" s="238"/>
      <c r="AI596" s="240"/>
      <c r="AJ596" s="229"/>
      <c r="AK596" s="231"/>
      <c r="AL596" s="229"/>
      <c r="AM596" s="229"/>
      <c r="AN596" s="229"/>
      <c r="AO596" s="229"/>
      <c r="AP596" s="229"/>
      <c r="AQ596" s="229"/>
      <c r="AR596" s="229"/>
      <c r="AS596" s="229"/>
      <c r="AT596" s="229"/>
      <c r="AU596" s="229"/>
      <c r="AV596" s="229"/>
      <c r="AW596" s="5"/>
      <c r="AX596" s="5"/>
      <c r="AY596" s="5"/>
      <c r="AZ596" s="5"/>
      <c r="BA596" s="5"/>
      <c r="BB596" s="5"/>
      <c r="BC596" s="5"/>
      <c r="BD596" s="5"/>
      <c r="BE596" s="5"/>
      <c r="BF596" s="5"/>
      <c r="BG596" s="5"/>
    </row>
    <row r="597" customFormat="false" ht="1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212"/>
      <c r="V597" s="212"/>
      <c r="W597" s="212"/>
      <c r="X597" s="212"/>
      <c r="Y597" s="212"/>
      <c r="Z597" s="212"/>
      <c r="AA597" s="212"/>
      <c r="AB597" s="212"/>
      <c r="AC597" s="241" t="n">
        <v>356</v>
      </c>
      <c r="AD597" s="243" t="s">
        <v>937</v>
      </c>
      <c r="AE597" s="229"/>
      <c r="AF597" s="229"/>
      <c r="AG597" s="229"/>
      <c r="AH597" s="238"/>
      <c r="AI597" s="240"/>
      <c r="AJ597" s="229"/>
      <c r="AK597" s="231"/>
      <c r="AL597" s="229"/>
      <c r="AM597" s="229"/>
      <c r="AN597" s="229"/>
      <c r="AO597" s="229"/>
      <c r="AP597" s="229"/>
      <c r="AQ597" s="229"/>
      <c r="AR597" s="229"/>
      <c r="AS597" s="229"/>
      <c r="AT597" s="229"/>
      <c r="AU597" s="229"/>
      <c r="AV597" s="229"/>
      <c r="AW597" s="5"/>
      <c r="AX597" s="5"/>
      <c r="AY597" s="5"/>
      <c r="AZ597" s="5"/>
      <c r="BA597" s="5"/>
      <c r="BB597" s="5"/>
      <c r="BC597" s="5"/>
      <c r="BD597" s="5"/>
      <c r="BE597" s="5"/>
      <c r="BF597" s="5"/>
      <c r="BG597" s="5"/>
    </row>
    <row r="598" customFormat="false" ht="1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212"/>
      <c r="V598" s="212"/>
      <c r="W598" s="212"/>
      <c r="X598" s="212"/>
      <c r="Y598" s="212"/>
      <c r="Z598" s="212"/>
      <c r="AA598" s="212"/>
      <c r="AB598" s="212"/>
      <c r="AC598" s="241" t="n">
        <v>357</v>
      </c>
      <c r="AD598" s="243" t="s">
        <v>938</v>
      </c>
      <c r="AE598" s="229"/>
      <c r="AF598" s="229"/>
      <c r="AG598" s="229"/>
      <c r="AH598" s="238"/>
      <c r="AI598" s="240"/>
      <c r="AJ598" s="229"/>
      <c r="AK598" s="231"/>
      <c r="AL598" s="229"/>
      <c r="AM598" s="229"/>
      <c r="AN598" s="229"/>
      <c r="AO598" s="229"/>
      <c r="AP598" s="229"/>
      <c r="AQ598" s="229"/>
      <c r="AR598" s="229"/>
      <c r="AS598" s="229"/>
      <c r="AT598" s="229"/>
      <c r="AU598" s="229"/>
      <c r="AV598" s="229"/>
      <c r="AW598" s="5"/>
      <c r="AX598" s="5"/>
      <c r="AY598" s="5"/>
      <c r="AZ598" s="5"/>
      <c r="BA598" s="5"/>
      <c r="BB598" s="5"/>
      <c r="BC598" s="5"/>
      <c r="BD598" s="5"/>
      <c r="BE598" s="5"/>
      <c r="BF598" s="5"/>
      <c r="BG598" s="5"/>
    </row>
    <row r="599" customFormat="false" ht="1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212"/>
      <c r="V599" s="212"/>
      <c r="W599" s="212"/>
      <c r="X599" s="212"/>
      <c r="Y599" s="212"/>
      <c r="Z599" s="212"/>
      <c r="AA599" s="212"/>
      <c r="AB599" s="212"/>
      <c r="AC599" s="241" t="n">
        <v>358</v>
      </c>
      <c r="AD599" s="243" t="s">
        <v>939</v>
      </c>
      <c r="AE599" s="229"/>
      <c r="AF599" s="229"/>
      <c r="AG599" s="229"/>
      <c r="AH599" s="238"/>
      <c r="AI599" s="240"/>
      <c r="AJ599" s="229"/>
      <c r="AK599" s="231"/>
      <c r="AL599" s="229"/>
      <c r="AM599" s="229"/>
      <c r="AN599" s="229"/>
      <c r="AO599" s="229"/>
      <c r="AP599" s="229"/>
      <c r="AQ599" s="229"/>
      <c r="AR599" s="229"/>
      <c r="AS599" s="229"/>
      <c r="AT599" s="229"/>
      <c r="AU599" s="229"/>
      <c r="AV599" s="229"/>
      <c r="AW599" s="5"/>
      <c r="AX599" s="5"/>
      <c r="AY599" s="5"/>
      <c r="AZ599" s="5"/>
      <c r="BA599" s="5"/>
      <c r="BB599" s="5"/>
      <c r="BC599" s="5"/>
      <c r="BD599" s="5"/>
      <c r="BE599" s="5"/>
      <c r="BF599" s="5"/>
      <c r="BG599" s="5"/>
    </row>
    <row r="600" customFormat="false" ht="1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212"/>
      <c r="V600" s="212"/>
      <c r="W600" s="212"/>
      <c r="X600" s="212"/>
      <c r="Y600" s="212"/>
      <c r="Z600" s="212"/>
      <c r="AA600" s="212"/>
      <c r="AB600" s="212"/>
      <c r="AC600" s="241" t="n">
        <v>359</v>
      </c>
      <c r="AD600" s="243" t="s">
        <v>940</v>
      </c>
      <c r="AE600" s="229"/>
      <c r="AF600" s="229"/>
      <c r="AG600" s="229"/>
      <c r="AH600" s="238"/>
      <c r="AI600" s="240"/>
      <c r="AJ600" s="229"/>
      <c r="AK600" s="231"/>
      <c r="AL600" s="229"/>
      <c r="AM600" s="229"/>
      <c r="AN600" s="229"/>
      <c r="AO600" s="229"/>
      <c r="AP600" s="229"/>
      <c r="AQ600" s="229"/>
      <c r="AR600" s="229"/>
      <c r="AS600" s="229"/>
      <c r="AT600" s="229"/>
      <c r="AU600" s="229"/>
      <c r="AV600" s="229"/>
      <c r="AW600" s="5"/>
      <c r="AX600" s="5"/>
      <c r="AY600" s="5"/>
      <c r="AZ600" s="5"/>
      <c r="BA600" s="5"/>
      <c r="BB600" s="5"/>
      <c r="BC600" s="5"/>
      <c r="BD600" s="5"/>
      <c r="BE600" s="5"/>
      <c r="BF600" s="5"/>
      <c r="BG600" s="5"/>
    </row>
    <row r="601" customFormat="false" ht="1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212"/>
      <c r="V601" s="212"/>
      <c r="W601" s="212"/>
      <c r="X601" s="212"/>
      <c r="Y601" s="212"/>
      <c r="Z601" s="212"/>
      <c r="AA601" s="212"/>
      <c r="AB601" s="212"/>
      <c r="AC601" s="241" t="n">
        <v>360</v>
      </c>
      <c r="AD601" s="243" t="s">
        <v>941</v>
      </c>
      <c r="AE601" s="229"/>
      <c r="AF601" s="229"/>
      <c r="AG601" s="229"/>
      <c r="AH601" s="238"/>
      <c r="AI601" s="240"/>
      <c r="AJ601" s="229"/>
      <c r="AK601" s="231"/>
      <c r="AL601" s="229"/>
      <c r="AM601" s="229"/>
      <c r="AN601" s="229"/>
      <c r="AO601" s="229"/>
      <c r="AP601" s="229"/>
      <c r="AQ601" s="229"/>
      <c r="AR601" s="229"/>
      <c r="AS601" s="229"/>
      <c r="AT601" s="229"/>
      <c r="AU601" s="229"/>
      <c r="AV601" s="229"/>
      <c r="AW601" s="5"/>
      <c r="AX601" s="5"/>
      <c r="AY601" s="5"/>
      <c r="AZ601" s="5"/>
      <c r="BA601" s="5"/>
      <c r="BB601" s="5"/>
      <c r="BC601" s="5"/>
      <c r="BD601" s="5"/>
      <c r="BE601" s="5"/>
      <c r="BF601" s="5"/>
      <c r="BG601" s="5"/>
    </row>
    <row r="602" customFormat="false" ht="1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212"/>
      <c r="V602" s="212"/>
      <c r="W602" s="212"/>
      <c r="X602" s="212"/>
      <c r="Y602" s="212"/>
      <c r="Z602" s="212"/>
      <c r="AA602" s="212"/>
      <c r="AB602" s="212"/>
      <c r="AC602" s="241" t="n">
        <v>361</v>
      </c>
      <c r="AD602" s="243" t="s">
        <v>942</v>
      </c>
      <c r="AE602" s="229"/>
      <c r="AF602" s="229"/>
      <c r="AG602" s="229"/>
      <c r="AH602" s="238"/>
      <c r="AI602" s="240"/>
      <c r="AJ602" s="229"/>
      <c r="AK602" s="231"/>
      <c r="AL602" s="229"/>
      <c r="AM602" s="229"/>
      <c r="AN602" s="229"/>
      <c r="AO602" s="229"/>
      <c r="AP602" s="229"/>
      <c r="AQ602" s="229"/>
      <c r="AR602" s="229"/>
      <c r="AS602" s="229"/>
      <c r="AT602" s="229"/>
      <c r="AU602" s="229"/>
      <c r="AV602" s="229"/>
      <c r="AW602" s="5"/>
      <c r="AX602" s="5"/>
      <c r="AY602" s="5"/>
      <c r="AZ602" s="5"/>
      <c r="BA602" s="5"/>
      <c r="BB602" s="5"/>
      <c r="BC602" s="5"/>
      <c r="BD602" s="5"/>
      <c r="BE602" s="5"/>
      <c r="BF602" s="5"/>
      <c r="BG602" s="5"/>
    </row>
    <row r="603" customFormat="false" ht="1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212"/>
      <c r="V603" s="212"/>
      <c r="W603" s="212"/>
      <c r="X603" s="212"/>
      <c r="Y603" s="212"/>
      <c r="Z603" s="212"/>
      <c r="AA603" s="212"/>
      <c r="AB603" s="212"/>
      <c r="AC603" s="241" t="n">
        <v>362</v>
      </c>
      <c r="AD603" s="243" t="s">
        <v>943</v>
      </c>
      <c r="AE603" s="229"/>
      <c r="AF603" s="229"/>
      <c r="AG603" s="229"/>
      <c r="AH603" s="238"/>
      <c r="AI603" s="240"/>
      <c r="AJ603" s="229"/>
      <c r="AK603" s="231"/>
      <c r="AL603" s="229"/>
      <c r="AM603" s="229"/>
      <c r="AN603" s="229"/>
      <c r="AO603" s="229"/>
      <c r="AP603" s="229"/>
      <c r="AQ603" s="229"/>
      <c r="AR603" s="229"/>
      <c r="AS603" s="229"/>
      <c r="AT603" s="229"/>
      <c r="AU603" s="229"/>
      <c r="AV603" s="229"/>
      <c r="AW603" s="5"/>
      <c r="AX603" s="5"/>
      <c r="AY603" s="5"/>
      <c r="AZ603" s="5"/>
      <c r="BA603" s="5"/>
      <c r="BB603" s="5"/>
      <c r="BC603" s="5"/>
      <c r="BD603" s="5"/>
      <c r="BE603" s="5"/>
      <c r="BF603" s="5"/>
      <c r="BG603" s="5"/>
    </row>
    <row r="604" customFormat="false" ht="1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212"/>
      <c r="V604" s="212"/>
      <c r="W604" s="212"/>
      <c r="X604" s="212"/>
      <c r="Y604" s="212"/>
      <c r="Z604" s="212"/>
      <c r="AA604" s="212"/>
      <c r="AB604" s="212"/>
      <c r="AC604" s="241" t="n">
        <v>363</v>
      </c>
      <c r="AD604" s="243" t="s">
        <v>944</v>
      </c>
      <c r="AE604" s="229"/>
      <c r="AF604" s="229"/>
      <c r="AG604" s="229"/>
      <c r="AH604" s="238"/>
      <c r="AI604" s="240"/>
      <c r="AJ604" s="229"/>
      <c r="AK604" s="231"/>
      <c r="AL604" s="229"/>
      <c r="AM604" s="229"/>
      <c r="AN604" s="229"/>
      <c r="AO604" s="229"/>
      <c r="AP604" s="229"/>
      <c r="AQ604" s="229"/>
      <c r="AR604" s="229"/>
      <c r="AS604" s="229"/>
      <c r="AT604" s="229"/>
      <c r="AU604" s="229"/>
      <c r="AV604" s="229"/>
      <c r="AW604" s="5"/>
      <c r="AX604" s="5"/>
      <c r="AY604" s="5"/>
      <c r="AZ604" s="5"/>
      <c r="BA604" s="5"/>
      <c r="BB604" s="5"/>
      <c r="BC604" s="5"/>
      <c r="BD604" s="5"/>
      <c r="BE604" s="5"/>
      <c r="BF604" s="5"/>
      <c r="BG604" s="5"/>
    </row>
    <row r="605" customFormat="false" ht="1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212"/>
      <c r="V605" s="212"/>
      <c r="W605" s="212"/>
      <c r="X605" s="212"/>
      <c r="Y605" s="212"/>
      <c r="Z605" s="212"/>
      <c r="AA605" s="212"/>
      <c r="AB605" s="212"/>
      <c r="AC605" s="241" t="n">
        <v>364</v>
      </c>
      <c r="AD605" s="243" t="s">
        <v>945</v>
      </c>
      <c r="AE605" s="229"/>
      <c r="AF605" s="229"/>
      <c r="AG605" s="229"/>
      <c r="AH605" s="238"/>
      <c r="AI605" s="240"/>
      <c r="AJ605" s="229"/>
      <c r="AK605" s="231"/>
      <c r="AL605" s="229"/>
      <c r="AM605" s="229"/>
      <c r="AN605" s="229"/>
      <c r="AO605" s="229"/>
      <c r="AP605" s="229"/>
      <c r="AQ605" s="229"/>
      <c r="AR605" s="229"/>
      <c r="AS605" s="229"/>
      <c r="AT605" s="229"/>
      <c r="AU605" s="229"/>
      <c r="AV605" s="229"/>
      <c r="AW605" s="5"/>
      <c r="AX605" s="5"/>
      <c r="AY605" s="5"/>
      <c r="AZ605" s="5"/>
      <c r="BA605" s="5"/>
      <c r="BB605" s="5"/>
      <c r="BC605" s="5"/>
      <c r="BD605" s="5"/>
      <c r="BE605" s="5"/>
      <c r="BF605" s="5"/>
      <c r="BG605" s="5"/>
    </row>
    <row r="606" customFormat="false" ht="1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212"/>
      <c r="V606" s="212"/>
      <c r="W606" s="212"/>
      <c r="X606" s="212"/>
      <c r="Y606" s="212"/>
      <c r="Z606" s="212"/>
      <c r="AA606" s="212"/>
      <c r="AB606" s="212"/>
      <c r="AC606" s="241" t="n">
        <v>365</v>
      </c>
      <c r="AD606" s="243" t="s">
        <v>946</v>
      </c>
      <c r="AE606" s="229"/>
      <c r="AF606" s="229"/>
      <c r="AG606" s="229"/>
      <c r="AH606" s="238"/>
      <c r="AI606" s="240"/>
      <c r="AJ606" s="229"/>
      <c r="AK606" s="231"/>
      <c r="AL606" s="229"/>
      <c r="AM606" s="229"/>
      <c r="AN606" s="229"/>
      <c r="AO606" s="229"/>
      <c r="AP606" s="229"/>
      <c r="AQ606" s="229"/>
      <c r="AR606" s="229"/>
      <c r="AS606" s="229"/>
      <c r="AT606" s="229"/>
      <c r="AU606" s="229"/>
      <c r="AV606" s="229"/>
      <c r="AW606" s="5"/>
      <c r="AX606" s="5"/>
      <c r="AY606" s="5"/>
      <c r="AZ606" s="5"/>
      <c r="BA606" s="5"/>
      <c r="BB606" s="5"/>
      <c r="BC606" s="5"/>
      <c r="BD606" s="5"/>
      <c r="BE606" s="5"/>
      <c r="BF606" s="5"/>
      <c r="BG606" s="5"/>
    </row>
    <row r="607" customFormat="false" ht="1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212"/>
      <c r="V607" s="212"/>
      <c r="W607" s="212"/>
      <c r="X607" s="212"/>
      <c r="Y607" s="212"/>
      <c r="Z607" s="212"/>
      <c r="AA607" s="212"/>
      <c r="AB607" s="212"/>
      <c r="AC607" s="241" t="n">
        <v>366</v>
      </c>
      <c r="AD607" s="243" t="s">
        <v>947</v>
      </c>
      <c r="AE607" s="229"/>
      <c r="AF607" s="229"/>
      <c r="AG607" s="229"/>
      <c r="AH607" s="238"/>
      <c r="AI607" s="240"/>
      <c r="AJ607" s="229"/>
      <c r="AK607" s="231"/>
      <c r="AL607" s="229"/>
      <c r="AM607" s="229"/>
      <c r="AN607" s="229"/>
      <c r="AO607" s="229"/>
      <c r="AP607" s="229"/>
      <c r="AQ607" s="229"/>
      <c r="AR607" s="229"/>
      <c r="AS607" s="229"/>
      <c r="AT607" s="229"/>
      <c r="AU607" s="229"/>
      <c r="AV607" s="229"/>
      <c r="AW607" s="5"/>
      <c r="AX607" s="5"/>
      <c r="AY607" s="5"/>
      <c r="AZ607" s="5"/>
      <c r="BA607" s="5"/>
      <c r="BB607" s="5"/>
      <c r="BC607" s="5"/>
      <c r="BD607" s="5"/>
      <c r="BE607" s="5"/>
      <c r="BF607" s="5"/>
      <c r="BG607" s="5"/>
    </row>
    <row r="608" customFormat="false" ht="1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212"/>
      <c r="V608" s="212"/>
      <c r="W608" s="212"/>
      <c r="X608" s="212"/>
      <c r="Y608" s="212"/>
      <c r="Z608" s="212"/>
      <c r="AA608" s="212"/>
      <c r="AB608" s="212"/>
      <c r="AC608" s="241" t="n">
        <v>367</v>
      </c>
      <c r="AD608" s="243" t="s">
        <v>948</v>
      </c>
      <c r="AE608" s="229"/>
      <c r="AF608" s="229"/>
      <c r="AG608" s="229"/>
      <c r="AH608" s="238"/>
      <c r="AI608" s="240"/>
      <c r="AJ608" s="229"/>
      <c r="AK608" s="231"/>
      <c r="AL608" s="229"/>
      <c r="AM608" s="229"/>
      <c r="AN608" s="229"/>
      <c r="AO608" s="229"/>
      <c r="AP608" s="229"/>
      <c r="AQ608" s="229"/>
      <c r="AR608" s="229"/>
      <c r="AS608" s="229"/>
      <c r="AT608" s="229"/>
      <c r="AU608" s="229"/>
      <c r="AV608" s="229"/>
      <c r="AW608" s="5"/>
      <c r="AX608" s="5"/>
      <c r="AY608" s="5"/>
      <c r="AZ608" s="5"/>
      <c r="BA608" s="5"/>
      <c r="BB608" s="5"/>
      <c r="BC608" s="5"/>
      <c r="BD608" s="5"/>
      <c r="BE608" s="5"/>
      <c r="BF608" s="5"/>
      <c r="BG608" s="5"/>
    </row>
    <row r="609" customFormat="false" ht="1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212"/>
      <c r="V609" s="212"/>
      <c r="W609" s="212"/>
      <c r="X609" s="212"/>
      <c r="Y609" s="212"/>
      <c r="Z609" s="212"/>
      <c r="AA609" s="212"/>
      <c r="AB609" s="212"/>
      <c r="AC609" s="241" t="n">
        <v>368</v>
      </c>
      <c r="AD609" s="243" t="s">
        <v>949</v>
      </c>
      <c r="AE609" s="229"/>
      <c r="AF609" s="229"/>
      <c r="AG609" s="229"/>
      <c r="AH609" s="238"/>
      <c r="AI609" s="240"/>
      <c r="AJ609" s="229"/>
      <c r="AK609" s="231"/>
      <c r="AL609" s="229"/>
      <c r="AM609" s="229"/>
      <c r="AN609" s="229"/>
      <c r="AO609" s="229"/>
      <c r="AP609" s="229"/>
      <c r="AQ609" s="229"/>
      <c r="AR609" s="229"/>
      <c r="AS609" s="229"/>
      <c r="AT609" s="229"/>
      <c r="AU609" s="229"/>
      <c r="AV609" s="229"/>
      <c r="AW609" s="5"/>
      <c r="AX609" s="5"/>
      <c r="AY609" s="5"/>
      <c r="AZ609" s="5"/>
      <c r="BA609" s="5"/>
      <c r="BB609" s="5"/>
      <c r="BC609" s="5"/>
      <c r="BD609" s="5"/>
      <c r="BE609" s="5"/>
      <c r="BF609" s="5"/>
      <c r="BG609" s="5"/>
    </row>
    <row r="610" customFormat="false" ht="1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212"/>
      <c r="V610" s="212"/>
      <c r="W610" s="212"/>
      <c r="X610" s="212"/>
      <c r="Y610" s="212"/>
      <c r="Z610" s="212"/>
      <c r="AA610" s="212"/>
      <c r="AB610" s="212"/>
      <c r="AC610" s="241" t="n">
        <v>369</v>
      </c>
      <c r="AD610" s="243" t="s">
        <v>950</v>
      </c>
      <c r="AE610" s="229"/>
      <c r="AF610" s="229"/>
      <c r="AG610" s="229"/>
      <c r="AH610" s="238"/>
      <c r="AI610" s="240"/>
      <c r="AJ610" s="229"/>
      <c r="AK610" s="231"/>
      <c r="AL610" s="229"/>
      <c r="AM610" s="229"/>
      <c r="AN610" s="229"/>
      <c r="AO610" s="229"/>
      <c r="AP610" s="229"/>
      <c r="AQ610" s="229"/>
      <c r="AR610" s="229"/>
      <c r="AS610" s="229"/>
      <c r="AT610" s="229"/>
      <c r="AU610" s="229"/>
      <c r="AV610" s="229"/>
      <c r="AW610" s="5"/>
      <c r="AX610" s="5"/>
      <c r="AY610" s="5"/>
      <c r="AZ610" s="5"/>
      <c r="BA610" s="5"/>
      <c r="BB610" s="5"/>
      <c r="BC610" s="5"/>
      <c r="BD610" s="5"/>
      <c r="BE610" s="5"/>
      <c r="BF610" s="5"/>
      <c r="BG610" s="5"/>
    </row>
    <row r="611" customFormat="false" ht="1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212"/>
      <c r="V611" s="212"/>
      <c r="W611" s="212"/>
      <c r="X611" s="212"/>
      <c r="Y611" s="212"/>
      <c r="Z611" s="212"/>
      <c r="AA611" s="212"/>
      <c r="AB611" s="212"/>
      <c r="AC611" s="241" t="n">
        <v>370</v>
      </c>
      <c r="AD611" s="243" t="s">
        <v>951</v>
      </c>
      <c r="AE611" s="229"/>
      <c r="AF611" s="229"/>
      <c r="AG611" s="229"/>
      <c r="AH611" s="238"/>
      <c r="AI611" s="240"/>
      <c r="AJ611" s="229"/>
      <c r="AK611" s="231"/>
      <c r="AL611" s="229"/>
      <c r="AM611" s="229"/>
      <c r="AN611" s="229"/>
      <c r="AO611" s="229"/>
      <c r="AP611" s="229"/>
      <c r="AQ611" s="229"/>
      <c r="AR611" s="229"/>
      <c r="AS611" s="229"/>
      <c r="AT611" s="229"/>
      <c r="AU611" s="229"/>
      <c r="AV611" s="229"/>
      <c r="AW611" s="5"/>
      <c r="AX611" s="5"/>
      <c r="AY611" s="5"/>
      <c r="AZ611" s="5"/>
      <c r="BA611" s="5"/>
      <c r="BB611" s="5"/>
      <c r="BC611" s="5"/>
      <c r="BD611" s="5"/>
      <c r="BE611" s="5"/>
      <c r="BF611" s="5"/>
      <c r="BG611" s="5"/>
    </row>
    <row r="612" customFormat="false" ht="1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212"/>
      <c r="V612" s="212"/>
      <c r="W612" s="212"/>
      <c r="X612" s="212"/>
      <c r="Y612" s="212"/>
      <c r="Z612" s="212"/>
      <c r="AA612" s="212"/>
      <c r="AB612" s="212"/>
      <c r="AC612" s="241" t="n">
        <v>371</v>
      </c>
      <c r="AD612" s="243" t="s">
        <v>952</v>
      </c>
      <c r="AE612" s="229"/>
      <c r="AF612" s="229"/>
      <c r="AG612" s="229"/>
      <c r="AH612" s="238"/>
      <c r="AI612" s="240"/>
      <c r="AJ612" s="229"/>
      <c r="AK612" s="231"/>
      <c r="AL612" s="229"/>
      <c r="AM612" s="229"/>
      <c r="AN612" s="229"/>
      <c r="AO612" s="229"/>
      <c r="AP612" s="229"/>
      <c r="AQ612" s="229"/>
      <c r="AR612" s="229"/>
      <c r="AS612" s="229"/>
      <c r="AT612" s="229"/>
      <c r="AU612" s="229"/>
      <c r="AV612" s="229"/>
      <c r="AW612" s="5"/>
      <c r="AX612" s="5"/>
      <c r="AY612" s="5"/>
      <c r="AZ612" s="5"/>
      <c r="BA612" s="5"/>
      <c r="BB612" s="5"/>
      <c r="BC612" s="5"/>
      <c r="BD612" s="5"/>
      <c r="BE612" s="5"/>
      <c r="BF612" s="5"/>
      <c r="BG612" s="5"/>
    </row>
    <row r="613" customFormat="false" ht="1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212"/>
      <c r="V613" s="212"/>
      <c r="W613" s="212"/>
      <c r="X613" s="212"/>
      <c r="Y613" s="212"/>
      <c r="Z613" s="212"/>
      <c r="AA613" s="212"/>
      <c r="AB613" s="212"/>
      <c r="AC613" s="241" t="n">
        <v>372</v>
      </c>
      <c r="AD613" s="243" t="s">
        <v>953</v>
      </c>
      <c r="AE613" s="229"/>
      <c r="AF613" s="229"/>
      <c r="AG613" s="229"/>
      <c r="AH613" s="238"/>
      <c r="AI613" s="240"/>
      <c r="AJ613" s="229"/>
      <c r="AK613" s="231"/>
      <c r="AL613" s="229"/>
      <c r="AM613" s="229"/>
      <c r="AN613" s="229"/>
      <c r="AO613" s="229"/>
      <c r="AP613" s="229"/>
      <c r="AQ613" s="229"/>
      <c r="AR613" s="229"/>
      <c r="AS613" s="229"/>
      <c r="AT613" s="229"/>
      <c r="AU613" s="229"/>
      <c r="AV613" s="229"/>
      <c r="AW613" s="5"/>
      <c r="AX613" s="5"/>
      <c r="AY613" s="5"/>
      <c r="AZ613" s="5"/>
      <c r="BA613" s="5"/>
      <c r="BB613" s="5"/>
      <c r="BC613" s="5"/>
      <c r="BD613" s="5"/>
      <c r="BE613" s="5"/>
      <c r="BF613" s="5"/>
      <c r="BG613" s="5"/>
    </row>
    <row r="614" customFormat="false" ht="1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212"/>
      <c r="V614" s="212"/>
      <c r="W614" s="212"/>
      <c r="X614" s="212"/>
      <c r="Y614" s="212"/>
      <c r="Z614" s="212"/>
      <c r="AA614" s="212"/>
      <c r="AB614" s="212"/>
      <c r="AC614" s="241" t="n">
        <v>373</v>
      </c>
      <c r="AD614" s="243" t="s">
        <v>954</v>
      </c>
      <c r="AE614" s="229"/>
      <c r="AF614" s="229"/>
      <c r="AG614" s="229"/>
      <c r="AH614" s="238"/>
      <c r="AI614" s="240"/>
      <c r="AJ614" s="229"/>
      <c r="AK614" s="231"/>
      <c r="AL614" s="229"/>
      <c r="AM614" s="229"/>
      <c r="AN614" s="229"/>
      <c r="AO614" s="229"/>
      <c r="AP614" s="229"/>
      <c r="AQ614" s="229"/>
      <c r="AR614" s="229"/>
      <c r="AS614" s="229"/>
      <c r="AT614" s="229"/>
      <c r="AU614" s="229"/>
      <c r="AV614" s="229"/>
      <c r="AW614" s="5"/>
      <c r="AX614" s="5"/>
      <c r="AY614" s="5"/>
      <c r="AZ614" s="5"/>
      <c r="BA614" s="5"/>
      <c r="BB614" s="5"/>
      <c r="BC614" s="5"/>
      <c r="BD614" s="5"/>
      <c r="BE614" s="5"/>
      <c r="BF614" s="5"/>
      <c r="BG614" s="5"/>
    </row>
    <row r="615" customFormat="false" ht="1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212"/>
      <c r="V615" s="212"/>
      <c r="W615" s="212"/>
      <c r="X615" s="212"/>
      <c r="Y615" s="212"/>
      <c r="Z615" s="212"/>
      <c r="AA615" s="212"/>
      <c r="AB615" s="212"/>
      <c r="AC615" s="241" t="n">
        <v>374</v>
      </c>
      <c r="AD615" s="243" t="s">
        <v>955</v>
      </c>
      <c r="AE615" s="229"/>
      <c r="AF615" s="229"/>
      <c r="AG615" s="229"/>
      <c r="AH615" s="238"/>
      <c r="AI615" s="240"/>
      <c r="AJ615" s="229"/>
      <c r="AK615" s="231"/>
      <c r="AL615" s="229"/>
      <c r="AM615" s="229"/>
      <c r="AN615" s="229"/>
      <c r="AO615" s="229"/>
      <c r="AP615" s="229"/>
      <c r="AQ615" s="229"/>
      <c r="AR615" s="229"/>
      <c r="AS615" s="229"/>
      <c r="AT615" s="229"/>
      <c r="AU615" s="229"/>
      <c r="AV615" s="229"/>
      <c r="AW615" s="5"/>
      <c r="AX615" s="5"/>
      <c r="AY615" s="5"/>
      <c r="AZ615" s="5"/>
      <c r="BA615" s="5"/>
      <c r="BB615" s="5"/>
      <c r="BC615" s="5"/>
      <c r="BD615" s="5"/>
      <c r="BE615" s="5"/>
      <c r="BF615" s="5"/>
      <c r="BG615" s="5"/>
    </row>
    <row r="616" customFormat="false" ht="1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212"/>
      <c r="V616" s="212"/>
      <c r="W616" s="212"/>
      <c r="X616" s="212"/>
      <c r="Y616" s="212"/>
      <c r="Z616" s="212"/>
      <c r="AA616" s="212"/>
      <c r="AB616" s="212"/>
      <c r="AC616" s="241" t="n">
        <v>375</v>
      </c>
      <c r="AD616" s="243" t="s">
        <v>956</v>
      </c>
      <c r="AE616" s="229"/>
      <c r="AF616" s="229"/>
      <c r="AG616" s="229"/>
      <c r="AH616" s="238"/>
      <c r="AI616" s="240"/>
      <c r="AJ616" s="229"/>
      <c r="AK616" s="231"/>
      <c r="AL616" s="229"/>
      <c r="AM616" s="229"/>
      <c r="AN616" s="229"/>
      <c r="AO616" s="229"/>
      <c r="AP616" s="229"/>
      <c r="AQ616" s="229"/>
      <c r="AR616" s="229"/>
      <c r="AS616" s="229"/>
      <c r="AT616" s="229"/>
      <c r="AU616" s="229"/>
      <c r="AV616" s="229"/>
      <c r="AW616" s="5"/>
      <c r="AX616" s="5"/>
      <c r="AY616" s="5"/>
      <c r="AZ616" s="5"/>
      <c r="BA616" s="5"/>
      <c r="BB616" s="5"/>
      <c r="BC616" s="5"/>
      <c r="BD616" s="5"/>
      <c r="BE616" s="5"/>
      <c r="BF616" s="5"/>
      <c r="BG616" s="5"/>
    </row>
    <row r="617" customFormat="false" ht="1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212"/>
      <c r="V617" s="212"/>
      <c r="W617" s="212"/>
      <c r="X617" s="212"/>
      <c r="Y617" s="212"/>
      <c r="Z617" s="212"/>
      <c r="AA617" s="212"/>
      <c r="AB617" s="212"/>
      <c r="AC617" s="241" t="n">
        <v>376</v>
      </c>
      <c r="AD617" s="243" t="s">
        <v>957</v>
      </c>
      <c r="AE617" s="229"/>
      <c r="AF617" s="229"/>
      <c r="AG617" s="229"/>
      <c r="AH617" s="238"/>
      <c r="AI617" s="240"/>
      <c r="AJ617" s="229"/>
      <c r="AK617" s="231"/>
      <c r="AL617" s="229"/>
      <c r="AM617" s="229"/>
      <c r="AN617" s="229"/>
      <c r="AO617" s="229"/>
      <c r="AP617" s="229"/>
      <c r="AQ617" s="229"/>
      <c r="AR617" s="229"/>
      <c r="AS617" s="229"/>
      <c r="AT617" s="229"/>
      <c r="AU617" s="229"/>
      <c r="AV617" s="229"/>
      <c r="AW617" s="5"/>
      <c r="AX617" s="5"/>
      <c r="AY617" s="5"/>
      <c r="AZ617" s="5"/>
      <c r="BA617" s="5"/>
      <c r="BB617" s="5"/>
      <c r="BC617" s="5"/>
      <c r="BD617" s="5"/>
      <c r="BE617" s="5"/>
      <c r="BF617" s="5"/>
      <c r="BG617" s="5"/>
    </row>
    <row r="618" customFormat="false" ht="1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212"/>
      <c r="V618" s="212"/>
      <c r="W618" s="212"/>
      <c r="X618" s="212"/>
      <c r="Y618" s="212"/>
      <c r="Z618" s="212"/>
      <c r="AA618" s="212"/>
      <c r="AB618" s="212"/>
      <c r="AC618" s="241" t="n">
        <v>377</v>
      </c>
      <c r="AD618" s="243" t="s">
        <v>958</v>
      </c>
      <c r="AE618" s="229"/>
      <c r="AF618" s="229"/>
      <c r="AG618" s="229"/>
      <c r="AH618" s="238"/>
      <c r="AI618" s="240"/>
      <c r="AJ618" s="229"/>
      <c r="AK618" s="231"/>
      <c r="AL618" s="229"/>
      <c r="AM618" s="229"/>
      <c r="AN618" s="229"/>
      <c r="AO618" s="229"/>
      <c r="AP618" s="229"/>
      <c r="AQ618" s="229"/>
      <c r="AR618" s="229"/>
      <c r="AS618" s="229"/>
      <c r="AT618" s="229"/>
      <c r="AU618" s="229"/>
      <c r="AV618" s="229"/>
      <c r="AW618" s="5"/>
      <c r="AX618" s="5"/>
      <c r="AY618" s="5"/>
      <c r="AZ618" s="5"/>
      <c r="BA618" s="5"/>
      <c r="BB618" s="5"/>
      <c r="BC618" s="5"/>
      <c r="BD618" s="5"/>
      <c r="BE618" s="5"/>
      <c r="BF618" s="5"/>
      <c r="BG618" s="5"/>
    </row>
    <row r="619" customFormat="false" ht="1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212"/>
      <c r="V619" s="212"/>
      <c r="W619" s="212"/>
      <c r="X619" s="212"/>
      <c r="Y619" s="212"/>
      <c r="Z619" s="212"/>
      <c r="AA619" s="212"/>
      <c r="AB619" s="212"/>
      <c r="AC619" s="241" t="n">
        <v>378</v>
      </c>
      <c r="AD619" s="243" t="s">
        <v>959</v>
      </c>
      <c r="AE619" s="229"/>
      <c r="AF619" s="229"/>
      <c r="AG619" s="229"/>
      <c r="AH619" s="238"/>
      <c r="AI619" s="240"/>
      <c r="AJ619" s="229"/>
      <c r="AK619" s="231"/>
      <c r="AL619" s="229"/>
      <c r="AM619" s="229"/>
      <c r="AN619" s="229"/>
      <c r="AO619" s="229"/>
      <c r="AP619" s="229"/>
      <c r="AQ619" s="229"/>
      <c r="AR619" s="229"/>
      <c r="AS619" s="229"/>
      <c r="AT619" s="229"/>
      <c r="AU619" s="229"/>
      <c r="AV619" s="229"/>
      <c r="AW619" s="5"/>
      <c r="AX619" s="5"/>
      <c r="AY619" s="5"/>
      <c r="AZ619" s="5"/>
      <c r="BA619" s="5"/>
      <c r="BB619" s="5"/>
      <c r="BC619" s="5"/>
      <c r="BD619" s="5"/>
      <c r="BE619" s="5"/>
      <c r="BF619" s="5"/>
      <c r="BG619" s="5"/>
    </row>
    <row r="620" customFormat="false" ht="1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212"/>
      <c r="V620" s="212"/>
      <c r="W620" s="212"/>
      <c r="X620" s="212"/>
      <c r="Y620" s="212"/>
      <c r="Z620" s="212"/>
      <c r="AA620" s="212"/>
      <c r="AB620" s="212"/>
      <c r="AC620" s="241" t="n">
        <v>379</v>
      </c>
      <c r="AD620" s="243" t="s">
        <v>960</v>
      </c>
      <c r="AE620" s="229"/>
      <c r="AF620" s="229"/>
      <c r="AG620" s="229"/>
      <c r="AH620" s="238"/>
      <c r="AI620" s="240"/>
      <c r="AJ620" s="229"/>
      <c r="AK620" s="231"/>
      <c r="AL620" s="229"/>
      <c r="AM620" s="229"/>
      <c r="AN620" s="229"/>
      <c r="AO620" s="229"/>
      <c r="AP620" s="229"/>
      <c r="AQ620" s="229"/>
      <c r="AR620" s="229"/>
      <c r="AS620" s="229"/>
      <c r="AT620" s="229"/>
      <c r="AU620" s="229"/>
      <c r="AV620" s="229"/>
      <c r="AW620" s="5"/>
      <c r="AX620" s="5"/>
      <c r="AY620" s="5"/>
      <c r="AZ620" s="5"/>
      <c r="BA620" s="5"/>
      <c r="BB620" s="5"/>
      <c r="BC620" s="5"/>
      <c r="BD620" s="5"/>
      <c r="BE620" s="5"/>
      <c r="BF620" s="5"/>
      <c r="BG620" s="5"/>
    </row>
    <row r="621" customFormat="false" ht="1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212"/>
      <c r="V621" s="212"/>
      <c r="W621" s="212"/>
      <c r="X621" s="212"/>
      <c r="Y621" s="212"/>
      <c r="Z621" s="212"/>
      <c r="AA621" s="212"/>
      <c r="AB621" s="212"/>
      <c r="AC621" s="241" t="n">
        <v>380</v>
      </c>
      <c r="AD621" s="243" t="s">
        <v>961</v>
      </c>
      <c r="AE621" s="229"/>
      <c r="AF621" s="229"/>
      <c r="AG621" s="229"/>
      <c r="AH621" s="238"/>
      <c r="AI621" s="240"/>
      <c r="AJ621" s="229"/>
      <c r="AK621" s="231"/>
      <c r="AL621" s="229"/>
      <c r="AM621" s="229"/>
      <c r="AN621" s="229"/>
      <c r="AO621" s="229"/>
      <c r="AP621" s="229"/>
      <c r="AQ621" s="229"/>
      <c r="AR621" s="229"/>
      <c r="AS621" s="229"/>
      <c r="AT621" s="229"/>
      <c r="AU621" s="229"/>
      <c r="AV621" s="229"/>
      <c r="AW621" s="5"/>
      <c r="AX621" s="5"/>
      <c r="AY621" s="5"/>
      <c r="AZ621" s="5"/>
      <c r="BA621" s="5"/>
      <c r="BB621" s="5"/>
      <c r="BC621" s="5"/>
      <c r="BD621" s="5"/>
      <c r="BE621" s="5"/>
      <c r="BF621" s="5"/>
      <c r="BG621" s="5"/>
    </row>
    <row r="622" customFormat="false" ht="1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212"/>
      <c r="V622" s="212"/>
      <c r="W622" s="212"/>
      <c r="X622" s="212"/>
      <c r="Y622" s="212"/>
      <c r="Z622" s="212"/>
      <c r="AA622" s="212"/>
      <c r="AB622" s="212"/>
      <c r="AC622" s="241" t="n">
        <v>381</v>
      </c>
      <c r="AD622" s="243" t="s">
        <v>962</v>
      </c>
      <c r="AE622" s="229"/>
      <c r="AF622" s="229"/>
      <c r="AG622" s="229"/>
      <c r="AH622" s="238"/>
      <c r="AI622" s="240"/>
      <c r="AJ622" s="229"/>
      <c r="AK622" s="231"/>
      <c r="AL622" s="229"/>
      <c r="AM622" s="229"/>
      <c r="AN622" s="229"/>
      <c r="AO622" s="229"/>
      <c r="AP622" s="229"/>
      <c r="AQ622" s="229"/>
      <c r="AR622" s="229"/>
      <c r="AS622" s="229"/>
      <c r="AT622" s="229"/>
      <c r="AU622" s="229"/>
      <c r="AV622" s="229"/>
      <c r="AW622" s="5"/>
      <c r="AX622" s="5"/>
      <c r="AY622" s="5"/>
      <c r="AZ622" s="5"/>
      <c r="BA622" s="5"/>
      <c r="BB622" s="5"/>
      <c r="BC622" s="5"/>
      <c r="BD622" s="5"/>
      <c r="BE622" s="5"/>
      <c r="BF622" s="5"/>
      <c r="BG622" s="5"/>
    </row>
    <row r="623" customFormat="false" ht="1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212"/>
      <c r="V623" s="212"/>
      <c r="W623" s="212"/>
      <c r="X623" s="212"/>
      <c r="Y623" s="212"/>
      <c r="Z623" s="212"/>
      <c r="AA623" s="212"/>
      <c r="AB623" s="212"/>
      <c r="AC623" s="241" t="n">
        <v>382</v>
      </c>
      <c r="AD623" s="243" t="s">
        <v>963</v>
      </c>
      <c r="AE623" s="229"/>
      <c r="AF623" s="229"/>
      <c r="AG623" s="229"/>
      <c r="AH623" s="238"/>
      <c r="AI623" s="240"/>
      <c r="AJ623" s="229"/>
      <c r="AK623" s="231"/>
      <c r="AL623" s="229"/>
      <c r="AM623" s="229"/>
      <c r="AN623" s="229"/>
      <c r="AO623" s="229"/>
      <c r="AP623" s="229"/>
      <c r="AQ623" s="229"/>
      <c r="AR623" s="229"/>
      <c r="AS623" s="229"/>
      <c r="AT623" s="229"/>
      <c r="AU623" s="229"/>
      <c r="AV623" s="229"/>
      <c r="AW623" s="5"/>
      <c r="AX623" s="5"/>
      <c r="AY623" s="5"/>
      <c r="AZ623" s="5"/>
      <c r="BA623" s="5"/>
      <c r="BB623" s="5"/>
      <c r="BC623" s="5"/>
      <c r="BD623" s="5"/>
      <c r="BE623" s="5"/>
      <c r="BF623" s="5"/>
      <c r="BG623" s="5"/>
    </row>
    <row r="624" customFormat="false" ht="1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212"/>
      <c r="V624" s="212"/>
      <c r="W624" s="212"/>
      <c r="X624" s="212"/>
      <c r="Y624" s="212"/>
      <c r="Z624" s="212"/>
      <c r="AA624" s="212"/>
      <c r="AB624" s="212"/>
      <c r="AC624" s="241" t="n">
        <v>383</v>
      </c>
      <c r="AD624" s="243" t="s">
        <v>964</v>
      </c>
      <c r="AE624" s="229"/>
      <c r="AF624" s="229"/>
      <c r="AG624" s="229"/>
      <c r="AH624" s="238"/>
      <c r="AI624" s="240"/>
      <c r="AJ624" s="229"/>
      <c r="AK624" s="231"/>
      <c r="AL624" s="229"/>
      <c r="AM624" s="229"/>
      <c r="AN624" s="229"/>
      <c r="AO624" s="229"/>
      <c r="AP624" s="229"/>
      <c r="AQ624" s="229"/>
      <c r="AR624" s="229"/>
      <c r="AS624" s="229"/>
      <c r="AT624" s="229"/>
      <c r="AU624" s="229"/>
      <c r="AV624" s="229"/>
      <c r="AW624" s="5"/>
      <c r="AX624" s="5"/>
      <c r="AY624" s="5"/>
      <c r="AZ624" s="5"/>
      <c r="BA624" s="5"/>
      <c r="BB624" s="5"/>
      <c r="BC624" s="5"/>
      <c r="BD624" s="5"/>
      <c r="BE624" s="5"/>
      <c r="BF624" s="5"/>
      <c r="BG624" s="5"/>
    </row>
    <row r="625" customFormat="false" ht="1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212"/>
      <c r="V625" s="212"/>
      <c r="W625" s="212"/>
      <c r="X625" s="212"/>
      <c r="Y625" s="212"/>
      <c r="Z625" s="212"/>
      <c r="AA625" s="212"/>
      <c r="AB625" s="212"/>
      <c r="AC625" s="241" t="n">
        <v>384</v>
      </c>
      <c r="AD625" s="243" t="s">
        <v>965</v>
      </c>
      <c r="AE625" s="229"/>
      <c r="AF625" s="229"/>
      <c r="AG625" s="229"/>
      <c r="AH625" s="238"/>
      <c r="AI625" s="240"/>
      <c r="AJ625" s="229"/>
      <c r="AK625" s="231"/>
      <c r="AL625" s="229"/>
      <c r="AM625" s="229"/>
      <c r="AN625" s="229"/>
      <c r="AO625" s="229"/>
      <c r="AP625" s="229"/>
      <c r="AQ625" s="229"/>
      <c r="AR625" s="229"/>
      <c r="AS625" s="229"/>
      <c r="AT625" s="229"/>
      <c r="AU625" s="229"/>
      <c r="AV625" s="229"/>
      <c r="AW625" s="5"/>
      <c r="AX625" s="5"/>
      <c r="AY625" s="5"/>
      <c r="AZ625" s="5"/>
      <c r="BA625" s="5"/>
      <c r="BB625" s="5"/>
      <c r="BC625" s="5"/>
      <c r="BD625" s="5"/>
      <c r="BE625" s="5"/>
      <c r="BF625" s="5"/>
      <c r="BG625" s="5"/>
    </row>
    <row r="626" customFormat="false" ht="1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212"/>
      <c r="V626" s="212"/>
      <c r="W626" s="212"/>
      <c r="X626" s="212"/>
      <c r="Y626" s="212"/>
      <c r="Z626" s="212"/>
      <c r="AA626" s="212"/>
      <c r="AB626" s="212"/>
      <c r="AC626" s="241" t="n">
        <v>385</v>
      </c>
      <c r="AD626" s="243" t="s">
        <v>966</v>
      </c>
      <c r="AE626" s="229"/>
      <c r="AF626" s="229"/>
      <c r="AG626" s="229"/>
      <c r="AH626" s="238"/>
      <c r="AI626" s="240"/>
      <c r="AJ626" s="229"/>
      <c r="AK626" s="231"/>
      <c r="AL626" s="229"/>
      <c r="AM626" s="229"/>
      <c r="AN626" s="229"/>
      <c r="AO626" s="229"/>
      <c r="AP626" s="229"/>
      <c r="AQ626" s="229"/>
      <c r="AR626" s="229"/>
      <c r="AS626" s="229"/>
      <c r="AT626" s="229"/>
      <c r="AU626" s="229"/>
      <c r="AV626" s="229"/>
      <c r="AW626" s="5"/>
      <c r="AX626" s="5"/>
      <c r="AY626" s="5"/>
      <c r="AZ626" s="5"/>
      <c r="BA626" s="5"/>
      <c r="BB626" s="5"/>
      <c r="BC626" s="5"/>
      <c r="BD626" s="5"/>
      <c r="BE626" s="5"/>
      <c r="BF626" s="5"/>
      <c r="BG626" s="5"/>
    </row>
    <row r="627" customFormat="false" ht="1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212"/>
      <c r="V627" s="212"/>
      <c r="W627" s="212"/>
      <c r="X627" s="212"/>
      <c r="Y627" s="212"/>
      <c r="Z627" s="212"/>
      <c r="AA627" s="212"/>
      <c r="AB627" s="212"/>
      <c r="AC627" s="241" t="n">
        <v>386</v>
      </c>
      <c r="AD627" s="243" t="s">
        <v>967</v>
      </c>
      <c r="AE627" s="229"/>
      <c r="AF627" s="229"/>
      <c r="AG627" s="229"/>
      <c r="AH627" s="238"/>
      <c r="AI627" s="240"/>
      <c r="AJ627" s="229"/>
      <c r="AK627" s="231"/>
      <c r="AL627" s="229"/>
      <c r="AM627" s="229"/>
      <c r="AN627" s="229"/>
      <c r="AO627" s="229"/>
      <c r="AP627" s="229"/>
      <c r="AQ627" s="229"/>
      <c r="AR627" s="229"/>
      <c r="AS627" s="229"/>
      <c r="AT627" s="229"/>
      <c r="AU627" s="229"/>
      <c r="AV627" s="229"/>
      <c r="AW627" s="5"/>
      <c r="AX627" s="5"/>
      <c r="AY627" s="5"/>
      <c r="AZ627" s="5"/>
      <c r="BA627" s="5"/>
      <c r="BB627" s="5"/>
      <c r="BC627" s="5"/>
      <c r="BD627" s="5"/>
      <c r="BE627" s="5"/>
      <c r="BF627" s="5"/>
      <c r="BG627" s="5"/>
    </row>
    <row r="628" customFormat="false" ht="1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212"/>
      <c r="V628" s="212"/>
      <c r="W628" s="212"/>
      <c r="X628" s="212"/>
      <c r="Y628" s="212"/>
      <c r="Z628" s="212"/>
      <c r="AA628" s="212"/>
      <c r="AB628" s="212"/>
      <c r="AC628" s="241" t="n">
        <v>387</v>
      </c>
      <c r="AD628" s="243" t="s">
        <v>968</v>
      </c>
      <c r="AE628" s="229"/>
      <c r="AF628" s="229"/>
      <c r="AG628" s="229"/>
      <c r="AH628" s="238"/>
      <c r="AI628" s="240"/>
      <c r="AJ628" s="229"/>
      <c r="AK628" s="231"/>
      <c r="AL628" s="229"/>
      <c r="AM628" s="229"/>
      <c r="AN628" s="229"/>
      <c r="AO628" s="229"/>
      <c r="AP628" s="229"/>
      <c r="AQ628" s="229"/>
      <c r="AR628" s="229"/>
      <c r="AS628" s="229"/>
      <c r="AT628" s="229"/>
      <c r="AU628" s="229"/>
      <c r="AV628" s="229"/>
      <c r="AW628" s="5"/>
      <c r="AX628" s="5"/>
      <c r="AY628" s="5"/>
      <c r="AZ628" s="5"/>
      <c r="BA628" s="5"/>
      <c r="BB628" s="5"/>
      <c r="BC628" s="5"/>
      <c r="BD628" s="5"/>
      <c r="BE628" s="5"/>
      <c r="BF628" s="5"/>
      <c r="BG628" s="5"/>
    </row>
    <row r="629" customFormat="false" ht="1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212"/>
      <c r="V629" s="212"/>
      <c r="W629" s="212"/>
      <c r="X629" s="212"/>
      <c r="Y629" s="212"/>
      <c r="Z629" s="212"/>
      <c r="AA629" s="212"/>
      <c r="AB629" s="212"/>
      <c r="AC629" s="241" t="n">
        <v>388</v>
      </c>
      <c r="AD629" s="243" t="s">
        <v>969</v>
      </c>
      <c r="AE629" s="229"/>
      <c r="AF629" s="229"/>
      <c r="AG629" s="229"/>
      <c r="AH629" s="238"/>
      <c r="AI629" s="240"/>
      <c r="AJ629" s="229"/>
      <c r="AK629" s="231"/>
      <c r="AL629" s="229"/>
      <c r="AM629" s="229"/>
      <c r="AN629" s="229"/>
      <c r="AO629" s="229"/>
      <c r="AP629" s="229"/>
      <c r="AQ629" s="229"/>
      <c r="AR629" s="229"/>
      <c r="AS629" s="229"/>
      <c r="AT629" s="229"/>
      <c r="AU629" s="229"/>
      <c r="AV629" s="229"/>
      <c r="AW629" s="5"/>
      <c r="AX629" s="5"/>
      <c r="AY629" s="5"/>
      <c r="AZ629" s="5"/>
      <c r="BA629" s="5"/>
      <c r="BB629" s="5"/>
      <c r="BC629" s="5"/>
      <c r="BD629" s="5"/>
      <c r="BE629" s="5"/>
      <c r="BF629" s="5"/>
      <c r="BG629" s="5"/>
    </row>
    <row r="630" customFormat="false" ht="1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212"/>
      <c r="V630" s="212"/>
      <c r="W630" s="212"/>
      <c r="X630" s="212"/>
      <c r="Y630" s="212"/>
      <c r="Z630" s="212"/>
      <c r="AA630" s="212"/>
      <c r="AB630" s="212"/>
      <c r="AC630" s="241" t="n">
        <v>389</v>
      </c>
      <c r="AD630" s="243" t="s">
        <v>970</v>
      </c>
      <c r="AE630" s="229"/>
      <c r="AF630" s="229"/>
      <c r="AG630" s="229"/>
      <c r="AH630" s="238"/>
      <c r="AI630" s="240"/>
      <c r="AJ630" s="229"/>
      <c r="AK630" s="231"/>
      <c r="AL630" s="229"/>
      <c r="AM630" s="229"/>
      <c r="AN630" s="229"/>
      <c r="AO630" s="229"/>
      <c r="AP630" s="229"/>
      <c r="AQ630" s="229"/>
      <c r="AR630" s="229"/>
      <c r="AS630" s="229"/>
      <c r="AT630" s="229"/>
      <c r="AU630" s="229"/>
      <c r="AV630" s="229"/>
      <c r="AW630" s="5"/>
      <c r="AX630" s="5"/>
      <c r="AY630" s="5"/>
      <c r="AZ630" s="5"/>
      <c r="BA630" s="5"/>
      <c r="BB630" s="5"/>
      <c r="BC630" s="5"/>
      <c r="BD630" s="5"/>
      <c r="BE630" s="5"/>
      <c r="BF630" s="5"/>
      <c r="BG630" s="5"/>
    </row>
    <row r="631" customFormat="false" ht="1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212"/>
      <c r="V631" s="212"/>
      <c r="W631" s="212"/>
      <c r="X631" s="212"/>
      <c r="Y631" s="212"/>
      <c r="Z631" s="212"/>
      <c r="AA631" s="212"/>
      <c r="AB631" s="212"/>
      <c r="AC631" s="241" t="n">
        <v>390</v>
      </c>
      <c r="AD631" s="243" t="s">
        <v>971</v>
      </c>
      <c r="AE631" s="229"/>
      <c r="AF631" s="229"/>
      <c r="AG631" s="229"/>
      <c r="AH631" s="238"/>
      <c r="AI631" s="240"/>
      <c r="AJ631" s="229"/>
      <c r="AK631" s="231"/>
      <c r="AL631" s="229"/>
      <c r="AM631" s="229"/>
      <c r="AN631" s="229"/>
      <c r="AO631" s="229"/>
      <c r="AP631" s="229"/>
      <c r="AQ631" s="229"/>
      <c r="AR631" s="229"/>
      <c r="AS631" s="229"/>
      <c r="AT631" s="229"/>
      <c r="AU631" s="229"/>
      <c r="AV631" s="229"/>
      <c r="AW631" s="5"/>
      <c r="AX631" s="5"/>
      <c r="AY631" s="5"/>
      <c r="AZ631" s="5"/>
      <c r="BA631" s="5"/>
      <c r="BB631" s="5"/>
      <c r="BC631" s="5"/>
      <c r="BD631" s="5"/>
      <c r="BE631" s="5"/>
      <c r="BF631" s="5"/>
      <c r="BG631" s="5"/>
    </row>
    <row r="632" customFormat="false" ht="1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212"/>
      <c r="V632" s="212"/>
      <c r="W632" s="212"/>
      <c r="X632" s="212"/>
      <c r="Y632" s="212"/>
      <c r="Z632" s="212"/>
      <c r="AA632" s="212"/>
      <c r="AB632" s="212"/>
      <c r="AC632" s="241" t="n">
        <v>391</v>
      </c>
      <c r="AD632" s="243" t="s">
        <v>972</v>
      </c>
      <c r="AE632" s="229"/>
      <c r="AF632" s="229"/>
      <c r="AG632" s="229"/>
      <c r="AH632" s="238"/>
      <c r="AI632" s="240"/>
      <c r="AJ632" s="229"/>
      <c r="AK632" s="231"/>
      <c r="AL632" s="229"/>
      <c r="AM632" s="229"/>
      <c r="AN632" s="229"/>
      <c r="AO632" s="229"/>
      <c r="AP632" s="229"/>
      <c r="AQ632" s="229"/>
      <c r="AR632" s="229"/>
      <c r="AS632" s="229"/>
      <c r="AT632" s="229"/>
      <c r="AU632" s="229"/>
      <c r="AV632" s="229"/>
      <c r="AW632" s="5"/>
      <c r="AX632" s="5"/>
      <c r="AY632" s="5"/>
      <c r="AZ632" s="5"/>
      <c r="BA632" s="5"/>
      <c r="BB632" s="5"/>
      <c r="BC632" s="5"/>
      <c r="BD632" s="5"/>
      <c r="BE632" s="5"/>
      <c r="BF632" s="5"/>
      <c r="BG632" s="5"/>
    </row>
    <row r="633" customFormat="false" ht="1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212"/>
      <c r="V633" s="212"/>
      <c r="W633" s="212"/>
      <c r="X633" s="212"/>
      <c r="Y633" s="212"/>
      <c r="Z633" s="212"/>
      <c r="AA633" s="212"/>
      <c r="AB633" s="212"/>
      <c r="AC633" s="241" t="n">
        <v>392</v>
      </c>
      <c r="AD633" s="243" t="s">
        <v>973</v>
      </c>
      <c r="AE633" s="229"/>
      <c r="AF633" s="229"/>
      <c r="AG633" s="229"/>
      <c r="AH633" s="238"/>
      <c r="AI633" s="240"/>
      <c r="AJ633" s="229"/>
      <c r="AK633" s="231"/>
      <c r="AL633" s="229"/>
      <c r="AM633" s="229"/>
      <c r="AN633" s="229"/>
      <c r="AO633" s="229"/>
      <c r="AP633" s="229"/>
      <c r="AQ633" s="229"/>
      <c r="AR633" s="229"/>
      <c r="AS633" s="229"/>
      <c r="AT633" s="229"/>
      <c r="AU633" s="229"/>
      <c r="AV633" s="229"/>
      <c r="AW633" s="5"/>
      <c r="AX633" s="5"/>
      <c r="AY633" s="5"/>
      <c r="AZ633" s="5"/>
      <c r="BA633" s="5"/>
      <c r="BB633" s="5"/>
      <c r="BC633" s="5"/>
      <c r="BD633" s="5"/>
      <c r="BE633" s="5"/>
      <c r="BF633" s="5"/>
      <c r="BG633" s="5"/>
    </row>
    <row r="634" customFormat="false" ht="1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212"/>
      <c r="V634" s="212"/>
      <c r="W634" s="212"/>
      <c r="X634" s="212"/>
      <c r="Y634" s="212"/>
      <c r="Z634" s="212"/>
      <c r="AA634" s="212"/>
      <c r="AB634" s="212"/>
      <c r="AC634" s="241" t="n">
        <v>393</v>
      </c>
      <c r="AD634" s="243" t="s">
        <v>974</v>
      </c>
      <c r="AE634" s="229"/>
      <c r="AF634" s="229"/>
      <c r="AG634" s="229"/>
      <c r="AH634" s="238"/>
      <c r="AI634" s="240"/>
      <c r="AJ634" s="229"/>
      <c r="AK634" s="231"/>
      <c r="AL634" s="229"/>
      <c r="AM634" s="229"/>
      <c r="AN634" s="229"/>
      <c r="AO634" s="229"/>
      <c r="AP634" s="229"/>
      <c r="AQ634" s="229"/>
      <c r="AR634" s="229"/>
      <c r="AS634" s="229"/>
      <c r="AT634" s="229"/>
      <c r="AU634" s="229"/>
      <c r="AV634" s="229"/>
      <c r="AW634" s="5"/>
      <c r="AX634" s="5"/>
      <c r="AY634" s="5"/>
      <c r="AZ634" s="5"/>
      <c r="BA634" s="5"/>
      <c r="BB634" s="5"/>
      <c r="BC634" s="5"/>
      <c r="BD634" s="5"/>
      <c r="BE634" s="5"/>
      <c r="BF634" s="5"/>
      <c r="BG634" s="5"/>
    </row>
    <row r="635" customFormat="false" ht="1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212"/>
      <c r="V635" s="212"/>
      <c r="W635" s="212"/>
      <c r="X635" s="212"/>
      <c r="Y635" s="212"/>
      <c r="Z635" s="212"/>
      <c r="AA635" s="212"/>
      <c r="AB635" s="212"/>
      <c r="AC635" s="241" t="n">
        <v>394</v>
      </c>
      <c r="AD635" s="243" t="s">
        <v>975</v>
      </c>
      <c r="AE635" s="229"/>
      <c r="AF635" s="229"/>
      <c r="AG635" s="229"/>
      <c r="AH635" s="238"/>
      <c r="AI635" s="240"/>
      <c r="AJ635" s="229"/>
      <c r="AK635" s="231"/>
      <c r="AL635" s="229"/>
      <c r="AM635" s="229"/>
      <c r="AN635" s="229"/>
      <c r="AO635" s="229"/>
      <c r="AP635" s="229"/>
      <c r="AQ635" s="229"/>
      <c r="AR635" s="229"/>
      <c r="AS635" s="229"/>
      <c r="AT635" s="229"/>
      <c r="AU635" s="229"/>
      <c r="AV635" s="229"/>
      <c r="AW635" s="5"/>
      <c r="AX635" s="5"/>
      <c r="AY635" s="5"/>
      <c r="AZ635" s="5"/>
      <c r="BA635" s="5"/>
      <c r="BB635" s="5"/>
      <c r="BC635" s="5"/>
      <c r="BD635" s="5"/>
      <c r="BE635" s="5"/>
      <c r="BF635" s="5"/>
      <c r="BG635" s="5"/>
    </row>
    <row r="636" customFormat="false" ht="1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212"/>
      <c r="V636" s="212"/>
      <c r="W636" s="212"/>
      <c r="X636" s="212"/>
      <c r="Y636" s="212"/>
      <c r="Z636" s="212"/>
      <c r="AA636" s="212"/>
      <c r="AB636" s="212"/>
      <c r="AC636" s="241" t="n">
        <v>395</v>
      </c>
      <c r="AD636" s="243" t="s">
        <v>976</v>
      </c>
      <c r="AE636" s="229"/>
      <c r="AF636" s="229"/>
      <c r="AG636" s="229"/>
      <c r="AH636" s="238"/>
      <c r="AI636" s="240"/>
      <c r="AJ636" s="229"/>
      <c r="AK636" s="231"/>
      <c r="AL636" s="229"/>
      <c r="AM636" s="229"/>
      <c r="AN636" s="229"/>
      <c r="AO636" s="229"/>
      <c r="AP636" s="229"/>
      <c r="AQ636" s="229"/>
      <c r="AR636" s="229"/>
      <c r="AS636" s="229"/>
      <c r="AT636" s="229"/>
      <c r="AU636" s="229"/>
      <c r="AV636" s="229"/>
      <c r="AW636" s="5"/>
      <c r="AX636" s="5"/>
      <c r="AY636" s="5"/>
      <c r="AZ636" s="5"/>
      <c r="BA636" s="5"/>
      <c r="BB636" s="5"/>
      <c r="BC636" s="5"/>
      <c r="BD636" s="5"/>
      <c r="BE636" s="5"/>
      <c r="BF636" s="5"/>
      <c r="BG636" s="5"/>
    </row>
    <row r="637" customFormat="false" ht="1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212"/>
      <c r="V637" s="212"/>
      <c r="W637" s="212"/>
      <c r="X637" s="212"/>
      <c r="Y637" s="212"/>
      <c r="Z637" s="212"/>
      <c r="AA637" s="212"/>
      <c r="AB637" s="212"/>
      <c r="AC637" s="241" t="n">
        <v>396</v>
      </c>
      <c r="AD637" s="243" t="s">
        <v>977</v>
      </c>
      <c r="AE637" s="229"/>
      <c r="AF637" s="229"/>
      <c r="AG637" s="229"/>
      <c r="AH637" s="238"/>
      <c r="AI637" s="240"/>
      <c r="AJ637" s="229"/>
      <c r="AK637" s="231"/>
      <c r="AL637" s="229"/>
      <c r="AM637" s="229"/>
      <c r="AN637" s="229"/>
      <c r="AO637" s="229"/>
      <c r="AP637" s="229"/>
      <c r="AQ637" s="229"/>
      <c r="AR637" s="229"/>
      <c r="AS637" s="229"/>
      <c r="AT637" s="229"/>
      <c r="AU637" s="229"/>
      <c r="AV637" s="229"/>
      <c r="AW637" s="5"/>
      <c r="AX637" s="5"/>
      <c r="AY637" s="5"/>
      <c r="AZ637" s="5"/>
      <c r="BA637" s="5"/>
      <c r="BB637" s="5"/>
      <c r="BC637" s="5"/>
      <c r="BD637" s="5"/>
      <c r="BE637" s="5"/>
      <c r="BF637" s="5"/>
      <c r="BG637" s="5"/>
    </row>
    <row r="638" customFormat="false" ht="1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212"/>
      <c r="V638" s="212"/>
      <c r="W638" s="212"/>
      <c r="X638" s="212"/>
      <c r="Y638" s="212"/>
      <c r="Z638" s="212"/>
      <c r="AA638" s="212"/>
      <c r="AB638" s="212"/>
      <c r="AC638" s="241" t="n">
        <v>397</v>
      </c>
      <c r="AD638" s="243" t="s">
        <v>978</v>
      </c>
      <c r="AE638" s="229"/>
      <c r="AF638" s="229"/>
      <c r="AG638" s="229"/>
      <c r="AH638" s="238"/>
      <c r="AI638" s="240"/>
      <c r="AJ638" s="229"/>
      <c r="AK638" s="231"/>
      <c r="AL638" s="229"/>
      <c r="AM638" s="229"/>
      <c r="AN638" s="229"/>
      <c r="AO638" s="229"/>
      <c r="AP638" s="229"/>
      <c r="AQ638" s="229"/>
      <c r="AR638" s="229"/>
      <c r="AS638" s="229"/>
      <c r="AT638" s="229"/>
      <c r="AU638" s="229"/>
      <c r="AV638" s="229"/>
      <c r="AW638" s="5"/>
      <c r="AX638" s="5"/>
      <c r="AY638" s="5"/>
      <c r="AZ638" s="5"/>
      <c r="BA638" s="5"/>
      <c r="BB638" s="5"/>
      <c r="BC638" s="5"/>
      <c r="BD638" s="5"/>
      <c r="BE638" s="5"/>
      <c r="BF638" s="5"/>
      <c r="BG638" s="5"/>
    </row>
    <row r="639" customFormat="false" ht="1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212"/>
      <c r="V639" s="212"/>
      <c r="W639" s="212"/>
      <c r="X639" s="212"/>
      <c r="Y639" s="212"/>
      <c r="Z639" s="212"/>
      <c r="AA639" s="212"/>
      <c r="AB639" s="212"/>
      <c r="AC639" s="241" t="n">
        <v>398</v>
      </c>
      <c r="AD639" s="243" t="s">
        <v>979</v>
      </c>
      <c r="AE639" s="229"/>
      <c r="AF639" s="229"/>
      <c r="AG639" s="229"/>
      <c r="AH639" s="238"/>
      <c r="AI639" s="240"/>
      <c r="AJ639" s="229"/>
      <c r="AK639" s="231"/>
      <c r="AL639" s="229"/>
      <c r="AM639" s="229"/>
      <c r="AN639" s="229"/>
      <c r="AO639" s="229"/>
      <c r="AP639" s="229"/>
      <c r="AQ639" s="229"/>
      <c r="AR639" s="229"/>
      <c r="AS639" s="229"/>
      <c r="AT639" s="229"/>
      <c r="AU639" s="229"/>
      <c r="AV639" s="229"/>
      <c r="AW639" s="5"/>
      <c r="AX639" s="5"/>
      <c r="AY639" s="5"/>
      <c r="AZ639" s="5"/>
      <c r="BA639" s="5"/>
      <c r="BB639" s="5"/>
      <c r="BC639" s="5"/>
      <c r="BD639" s="5"/>
      <c r="BE639" s="5"/>
      <c r="BF639" s="5"/>
      <c r="BG639" s="5"/>
    </row>
    <row r="640" customFormat="false" ht="1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212"/>
      <c r="V640" s="212"/>
      <c r="W640" s="212"/>
      <c r="X640" s="212"/>
      <c r="Y640" s="212"/>
      <c r="Z640" s="212"/>
      <c r="AA640" s="212"/>
      <c r="AB640" s="212"/>
      <c r="AC640" s="241" t="n">
        <v>399</v>
      </c>
      <c r="AD640" s="243" t="s">
        <v>980</v>
      </c>
      <c r="AE640" s="229"/>
      <c r="AF640" s="229"/>
      <c r="AG640" s="229"/>
      <c r="AH640" s="238"/>
      <c r="AI640" s="240"/>
      <c r="AJ640" s="229"/>
      <c r="AK640" s="231"/>
      <c r="AL640" s="229"/>
      <c r="AM640" s="229"/>
      <c r="AN640" s="229"/>
      <c r="AO640" s="229"/>
      <c r="AP640" s="229"/>
      <c r="AQ640" s="229"/>
      <c r="AR640" s="229"/>
      <c r="AS640" s="229"/>
      <c r="AT640" s="229"/>
      <c r="AU640" s="229"/>
      <c r="AV640" s="229"/>
      <c r="AW640" s="5"/>
      <c r="AX640" s="5"/>
      <c r="AY640" s="5"/>
      <c r="AZ640" s="5"/>
      <c r="BA640" s="5"/>
      <c r="BB640" s="5"/>
      <c r="BC640" s="5"/>
      <c r="BD640" s="5"/>
      <c r="BE640" s="5"/>
      <c r="BF640" s="5"/>
      <c r="BG640" s="5"/>
    </row>
    <row r="641" customFormat="false" ht="1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212"/>
      <c r="V641" s="212"/>
      <c r="W641" s="212"/>
      <c r="X641" s="212"/>
      <c r="Y641" s="212"/>
      <c r="Z641" s="212"/>
      <c r="AA641" s="212"/>
      <c r="AB641" s="212"/>
      <c r="AC641" s="241" t="n">
        <v>400</v>
      </c>
      <c r="AD641" s="243" t="s">
        <v>981</v>
      </c>
      <c r="AE641" s="229"/>
      <c r="AF641" s="229"/>
      <c r="AG641" s="229"/>
      <c r="AH641" s="238"/>
      <c r="AI641" s="240"/>
      <c r="AJ641" s="229"/>
      <c r="AK641" s="231"/>
      <c r="AL641" s="229"/>
      <c r="AM641" s="229"/>
      <c r="AN641" s="229"/>
      <c r="AO641" s="229"/>
      <c r="AP641" s="229"/>
      <c r="AQ641" s="229"/>
      <c r="AR641" s="229"/>
      <c r="AS641" s="229"/>
      <c r="AT641" s="229"/>
      <c r="AU641" s="229"/>
      <c r="AV641" s="229"/>
      <c r="AW641" s="5"/>
      <c r="AX641" s="5"/>
      <c r="AY641" s="5"/>
      <c r="AZ641" s="5"/>
      <c r="BA641" s="5"/>
      <c r="BB641" s="5"/>
      <c r="BC641" s="5"/>
      <c r="BD641" s="5"/>
      <c r="BE641" s="5"/>
      <c r="BF641" s="5"/>
      <c r="BG641" s="5"/>
    </row>
    <row r="642" customFormat="false" ht="1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212"/>
      <c r="V642" s="212"/>
      <c r="W642" s="212"/>
      <c r="X642" s="212"/>
      <c r="Y642" s="212"/>
      <c r="Z642" s="212"/>
      <c r="AA642" s="212"/>
      <c r="AB642" s="212"/>
      <c r="AC642" s="241" t="n">
        <v>401</v>
      </c>
      <c r="AD642" s="243" t="s">
        <v>982</v>
      </c>
      <c r="AE642" s="229"/>
      <c r="AF642" s="229"/>
      <c r="AG642" s="229"/>
      <c r="AH642" s="238"/>
      <c r="AI642" s="240"/>
      <c r="AJ642" s="229"/>
      <c r="AK642" s="231"/>
      <c r="AL642" s="229"/>
      <c r="AM642" s="229"/>
      <c r="AN642" s="229"/>
      <c r="AO642" s="229"/>
      <c r="AP642" s="229"/>
      <c r="AQ642" s="229"/>
      <c r="AR642" s="229"/>
      <c r="AS642" s="229"/>
      <c r="AT642" s="229"/>
      <c r="AU642" s="229"/>
      <c r="AV642" s="229"/>
      <c r="AW642" s="5"/>
      <c r="AX642" s="5"/>
      <c r="AY642" s="5"/>
      <c r="AZ642" s="5"/>
      <c r="BA642" s="5"/>
      <c r="BB642" s="5"/>
      <c r="BC642" s="5"/>
      <c r="BD642" s="5"/>
      <c r="BE642" s="5"/>
      <c r="BF642" s="5"/>
      <c r="BG642" s="5"/>
    </row>
    <row r="643" customFormat="false" ht="1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212"/>
      <c r="V643" s="212"/>
      <c r="W643" s="212"/>
      <c r="X643" s="212"/>
      <c r="Y643" s="212"/>
      <c r="Z643" s="212"/>
      <c r="AA643" s="212"/>
      <c r="AB643" s="212"/>
      <c r="AC643" s="241" t="n">
        <v>402</v>
      </c>
      <c r="AD643" s="243" t="s">
        <v>983</v>
      </c>
      <c r="AE643" s="229"/>
      <c r="AF643" s="229"/>
      <c r="AG643" s="229"/>
      <c r="AH643" s="238"/>
      <c r="AI643" s="240"/>
      <c r="AJ643" s="229"/>
      <c r="AK643" s="231"/>
      <c r="AL643" s="229"/>
      <c r="AM643" s="229"/>
      <c r="AN643" s="229"/>
      <c r="AO643" s="229"/>
      <c r="AP643" s="229"/>
      <c r="AQ643" s="229"/>
      <c r="AR643" s="229"/>
      <c r="AS643" s="229"/>
      <c r="AT643" s="229"/>
      <c r="AU643" s="229"/>
      <c r="AV643" s="229"/>
      <c r="AW643" s="5"/>
      <c r="AX643" s="5"/>
      <c r="AY643" s="5"/>
      <c r="AZ643" s="5"/>
      <c r="BA643" s="5"/>
      <c r="BB643" s="5"/>
      <c r="BC643" s="5"/>
      <c r="BD643" s="5"/>
      <c r="BE643" s="5"/>
      <c r="BF643" s="5"/>
      <c r="BG643" s="5"/>
    </row>
    <row r="644" customFormat="false" ht="1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212"/>
      <c r="V644" s="212"/>
      <c r="W644" s="212"/>
      <c r="X644" s="212"/>
      <c r="Y644" s="212"/>
      <c r="Z644" s="212"/>
      <c r="AA644" s="212"/>
      <c r="AB644" s="212"/>
      <c r="AC644" s="241" t="n">
        <v>403</v>
      </c>
      <c r="AD644" s="243" t="s">
        <v>984</v>
      </c>
      <c r="AE644" s="229"/>
      <c r="AF644" s="229"/>
      <c r="AG644" s="229"/>
      <c r="AH644" s="238"/>
      <c r="AI644" s="240"/>
      <c r="AJ644" s="229"/>
      <c r="AK644" s="231"/>
      <c r="AL644" s="229"/>
      <c r="AM644" s="229"/>
      <c r="AN644" s="229"/>
      <c r="AO644" s="229"/>
      <c r="AP644" s="229"/>
      <c r="AQ644" s="229"/>
      <c r="AR644" s="229"/>
      <c r="AS644" s="229"/>
      <c r="AT644" s="229"/>
      <c r="AU644" s="229"/>
      <c r="AV644" s="229"/>
      <c r="AW644" s="5"/>
      <c r="AX644" s="5"/>
      <c r="AY644" s="5"/>
      <c r="AZ644" s="5"/>
      <c r="BA644" s="5"/>
      <c r="BB644" s="5"/>
      <c r="BC644" s="5"/>
      <c r="BD644" s="5"/>
      <c r="BE644" s="5"/>
      <c r="BF644" s="5"/>
      <c r="BG644" s="5"/>
    </row>
    <row r="645" customFormat="false" ht="1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212"/>
      <c r="V645" s="212"/>
      <c r="W645" s="212"/>
      <c r="X645" s="212"/>
      <c r="Y645" s="212"/>
      <c r="Z645" s="212"/>
      <c r="AA645" s="212"/>
      <c r="AB645" s="212"/>
      <c r="AC645" s="241" t="n">
        <v>404</v>
      </c>
      <c r="AD645" s="243" t="s">
        <v>985</v>
      </c>
      <c r="AE645" s="229"/>
      <c r="AF645" s="229"/>
      <c r="AG645" s="229"/>
      <c r="AH645" s="238"/>
      <c r="AI645" s="240"/>
      <c r="AJ645" s="229"/>
      <c r="AK645" s="231"/>
      <c r="AL645" s="229"/>
      <c r="AM645" s="229"/>
      <c r="AN645" s="229"/>
      <c r="AO645" s="229"/>
      <c r="AP645" s="229"/>
      <c r="AQ645" s="229"/>
      <c r="AR645" s="229"/>
      <c r="AS645" s="229"/>
      <c r="AT645" s="229"/>
      <c r="AU645" s="229"/>
      <c r="AV645" s="229"/>
      <c r="AW645" s="5"/>
      <c r="AX645" s="5"/>
      <c r="AY645" s="5"/>
      <c r="AZ645" s="5"/>
      <c r="BA645" s="5"/>
      <c r="BB645" s="5"/>
      <c r="BC645" s="5"/>
      <c r="BD645" s="5"/>
      <c r="BE645" s="5"/>
      <c r="BF645" s="5"/>
      <c r="BG645" s="5"/>
    </row>
    <row r="646" customFormat="false" ht="1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212"/>
      <c r="V646" s="212"/>
      <c r="W646" s="212"/>
      <c r="X646" s="212"/>
      <c r="Y646" s="212"/>
      <c r="Z646" s="212"/>
      <c r="AA646" s="212"/>
      <c r="AB646" s="212"/>
      <c r="AC646" s="241" t="n">
        <v>405</v>
      </c>
      <c r="AD646" s="243" t="s">
        <v>986</v>
      </c>
      <c r="AE646" s="229"/>
      <c r="AF646" s="229"/>
      <c r="AG646" s="229"/>
      <c r="AH646" s="238"/>
      <c r="AI646" s="240"/>
      <c r="AJ646" s="229"/>
      <c r="AK646" s="231"/>
      <c r="AL646" s="229"/>
      <c r="AM646" s="229"/>
      <c r="AN646" s="229"/>
      <c r="AO646" s="229"/>
      <c r="AP646" s="229"/>
      <c r="AQ646" s="229"/>
      <c r="AR646" s="229"/>
      <c r="AS646" s="229"/>
      <c r="AT646" s="229"/>
      <c r="AU646" s="229"/>
      <c r="AV646" s="229"/>
      <c r="AW646" s="5"/>
      <c r="AX646" s="5"/>
      <c r="AY646" s="5"/>
      <c r="AZ646" s="5"/>
      <c r="BA646" s="5"/>
      <c r="BB646" s="5"/>
      <c r="BC646" s="5"/>
      <c r="BD646" s="5"/>
      <c r="BE646" s="5"/>
      <c r="BF646" s="5"/>
      <c r="BG646" s="5"/>
    </row>
    <row r="647" customFormat="false" ht="1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212"/>
      <c r="V647" s="212"/>
      <c r="W647" s="212"/>
      <c r="X647" s="212"/>
      <c r="Y647" s="212"/>
      <c r="Z647" s="212"/>
      <c r="AA647" s="212"/>
      <c r="AB647" s="212"/>
      <c r="AC647" s="241" t="n">
        <v>406</v>
      </c>
      <c r="AD647" s="243" t="s">
        <v>987</v>
      </c>
      <c r="AE647" s="229"/>
      <c r="AF647" s="229"/>
      <c r="AG647" s="229"/>
      <c r="AH647" s="238"/>
      <c r="AI647" s="240"/>
      <c r="AJ647" s="229"/>
      <c r="AK647" s="231"/>
      <c r="AL647" s="229"/>
      <c r="AM647" s="229"/>
      <c r="AN647" s="229"/>
      <c r="AO647" s="229"/>
      <c r="AP647" s="229"/>
      <c r="AQ647" s="229"/>
      <c r="AR647" s="229"/>
      <c r="AS647" s="229"/>
      <c r="AT647" s="229"/>
      <c r="AU647" s="229"/>
      <c r="AV647" s="229"/>
      <c r="AW647" s="5"/>
      <c r="AX647" s="5"/>
      <c r="AY647" s="5"/>
      <c r="AZ647" s="5"/>
      <c r="BA647" s="5"/>
      <c r="BB647" s="5"/>
      <c r="BC647" s="5"/>
      <c r="BD647" s="5"/>
      <c r="BE647" s="5"/>
      <c r="BF647" s="5"/>
      <c r="BG647" s="5"/>
    </row>
    <row r="648" customFormat="false" ht="1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212"/>
      <c r="V648" s="212"/>
      <c r="W648" s="212"/>
      <c r="X648" s="212"/>
      <c r="Y648" s="212"/>
      <c r="Z648" s="212"/>
      <c r="AA648" s="212"/>
      <c r="AB648" s="212"/>
      <c r="AC648" s="241" t="n">
        <v>407</v>
      </c>
      <c r="AD648" s="243" t="s">
        <v>988</v>
      </c>
      <c r="AE648" s="229"/>
      <c r="AF648" s="229"/>
      <c r="AG648" s="229"/>
      <c r="AH648" s="238"/>
      <c r="AI648" s="240"/>
      <c r="AJ648" s="229"/>
      <c r="AK648" s="231"/>
      <c r="AL648" s="229"/>
      <c r="AM648" s="229"/>
      <c r="AN648" s="229"/>
      <c r="AO648" s="229"/>
      <c r="AP648" s="229"/>
      <c r="AQ648" s="229"/>
      <c r="AR648" s="229"/>
      <c r="AS648" s="229"/>
      <c r="AT648" s="229"/>
      <c r="AU648" s="229"/>
      <c r="AV648" s="229"/>
      <c r="AW648" s="5"/>
      <c r="AX648" s="5"/>
      <c r="AY648" s="5"/>
      <c r="AZ648" s="5"/>
      <c r="BA648" s="5"/>
      <c r="BB648" s="5"/>
      <c r="BC648" s="5"/>
      <c r="BD648" s="5"/>
      <c r="BE648" s="5"/>
      <c r="BF648" s="5"/>
      <c r="BG648" s="5"/>
    </row>
    <row r="649" customFormat="false" ht="1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212"/>
      <c r="V649" s="212"/>
      <c r="W649" s="212"/>
      <c r="X649" s="212"/>
      <c r="Y649" s="212"/>
      <c r="Z649" s="212"/>
      <c r="AA649" s="212"/>
      <c r="AB649" s="212"/>
      <c r="AC649" s="241" t="n">
        <v>408</v>
      </c>
      <c r="AD649" s="243" t="s">
        <v>989</v>
      </c>
      <c r="AE649" s="229"/>
      <c r="AF649" s="229"/>
      <c r="AG649" s="229"/>
      <c r="AH649" s="238"/>
      <c r="AI649" s="240"/>
      <c r="AJ649" s="229"/>
      <c r="AK649" s="231"/>
      <c r="AL649" s="229"/>
      <c r="AM649" s="229"/>
      <c r="AN649" s="229"/>
      <c r="AO649" s="229"/>
      <c r="AP649" s="229"/>
      <c r="AQ649" s="229"/>
      <c r="AR649" s="229"/>
      <c r="AS649" s="229"/>
      <c r="AT649" s="229"/>
      <c r="AU649" s="229"/>
      <c r="AV649" s="229"/>
      <c r="AW649" s="5"/>
      <c r="AX649" s="5"/>
      <c r="AY649" s="5"/>
      <c r="AZ649" s="5"/>
      <c r="BA649" s="5"/>
      <c r="BB649" s="5"/>
      <c r="BC649" s="5"/>
      <c r="BD649" s="5"/>
      <c r="BE649" s="5"/>
      <c r="BF649" s="5"/>
      <c r="BG649" s="5"/>
    </row>
    <row r="650" customFormat="false" ht="1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212"/>
      <c r="V650" s="212"/>
      <c r="W650" s="212"/>
      <c r="X650" s="212"/>
      <c r="Y650" s="212"/>
      <c r="Z650" s="212"/>
      <c r="AA650" s="212"/>
      <c r="AB650" s="212"/>
      <c r="AC650" s="241" t="n">
        <v>409</v>
      </c>
      <c r="AD650" s="243" t="s">
        <v>990</v>
      </c>
      <c r="AE650" s="229"/>
      <c r="AF650" s="229"/>
      <c r="AG650" s="229"/>
      <c r="AH650" s="238"/>
      <c r="AI650" s="240"/>
      <c r="AJ650" s="229"/>
      <c r="AK650" s="231"/>
      <c r="AL650" s="229"/>
      <c r="AM650" s="229"/>
      <c r="AN650" s="229"/>
      <c r="AO650" s="229"/>
      <c r="AP650" s="229"/>
      <c r="AQ650" s="229"/>
      <c r="AR650" s="229"/>
      <c r="AS650" s="229"/>
      <c r="AT650" s="229"/>
      <c r="AU650" s="229"/>
      <c r="AV650" s="229"/>
      <c r="AW650" s="5"/>
      <c r="AX650" s="5"/>
      <c r="AY650" s="5"/>
      <c r="AZ650" s="5"/>
      <c r="BA650" s="5"/>
      <c r="BB650" s="5"/>
      <c r="BC650" s="5"/>
      <c r="BD650" s="5"/>
      <c r="BE650" s="5"/>
      <c r="BF650" s="5"/>
      <c r="BG650" s="5"/>
    </row>
    <row r="651" customFormat="false" ht="1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212"/>
      <c r="V651" s="212"/>
      <c r="W651" s="212"/>
      <c r="X651" s="212"/>
      <c r="Y651" s="212"/>
      <c r="Z651" s="212"/>
      <c r="AA651" s="212"/>
      <c r="AB651" s="212"/>
      <c r="AC651" s="241" t="n">
        <v>410</v>
      </c>
      <c r="AD651" s="243" t="s">
        <v>991</v>
      </c>
      <c r="AE651" s="229"/>
      <c r="AF651" s="229"/>
      <c r="AG651" s="229"/>
      <c r="AH651" s="238"/>
      <c r="AI651" s="240"/>
      <c r="AJ651" s="229"/>
      <c r="AK651" s="231"/>
      <c r="AL651" s="229"/>
      <c r="AM651" s="229"/>
      <c r="AN651" s="229"/>
      <c r="AO651" s="229"/>
      <c r="AP651" s="229"/>
      <c r="AQ651" s="229"/>
      <c r="AR651" s="229"/>
      <c r="AS651" s="229"/>
      <c r="AT651" s="229"/>
      <c r="AU651" s="229"/>
      <c r="AV651" s="229"/>
      <c r="AW651" s="5"/>
      <c r="AX651" s="5"/>
      <c r="AY651" s="5"/>
      <c r="AZ651" s="5"/>
      <c r="BA651" s="5"/>
      <c r="BB651" s="5"/>
      <c r="BC651" s="5"/>
      <c r="BD651" s="5"/>
      <c r="BE651" s="5"/>
      <c r="BF651" s="5"/>
      <c r="BG651" s="5"/>
    </row>
    <row r="652" customFormat="false" ht="1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212"/>
      <c r="V652" s="212"/>
      <c r="W652" s="212"/>
      <c r="X652" s="212"/>
      <c r="Y652" s="212"/>
      <c r="Z652" s="212"/>
      <c r="AA652" s="212"/>
      <c r="AB652" s="212"/>
      <c r="AC652" s="241" t="n">
        <v>411</v>
      </c>
      <c r="AD652" s="243" t="s">
        <v>992</v>
      </c>
      <c r="AE652" s="229"/>
      <c r="AF652" s="229"/>
      <c r="AG652" s="229"/>
      <c r="AH652" s="238"/>
      <c r="AI652" s="240"/>
      <c r="AJ652" s="229"/>
      <c r="AK652" s="231"/>
      <c r="AL652" s="229"/>
      <c r="AM652" s="229"/>
      <c r="AN652" s="229"/>
      <c r="AO652" s="229"/>
      <c r="AP652" s="229"/>
      <c r="AQ652" s="229"/>
      <c r="AR652" s="229"/>
      <c r="AS652" s="229"/>
      <c r="AT652" s="229"/>
      <c r="AU652" s="229"/>
      <c r="AV652" s="229"/>
      <c r="AW652" s="5"/>
      <c r="AX652" s="5"/>
      <c r="AY652" s="5"/>
      <c r="AZ652" s="5"/>
      <c r="BA652" s="5"/>
      <c r="BB652" s="5"/>
      <c r="BC652" s="5"/>
      <c r="BD652" s="5"/>
      <c r="BE652" s="5"/>
      <c r="BF652" s="5"/>
      <c r="BG652" s="5"/>
    </row>
    <row r="653" customFormat="false" ht="1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212"/>
      <c r="V653" s="212"/>
      <c r="W653" s="212"/>
      <c r="X653" s="212"/>
      <c r="Y653" s="212"/>
      <c r="Z653" s="212"/>
      <c r="AA653" s="212"/>
      <c r="AB653" s="212"/>
      <c r="AC653" s="241" t="n">
        <v>412</v>
      </c>
      <c r="AD653" s="243" t="s">
        <v>993</v>
      </c>
      <c r="AE653" s="229"/>
      <c r="AF653" s="229"/>
      <c r="AG653" s="229"/>
      <c r="AH653" s="238"/>
      <c r="AI653" s="240"/>
      <c r="AJ653" s="229"/>
      <c r="AK653" s="231"/>
      <c r="AL653" s="229"/>
      <c r="AM653" s="229"/>
      <c r="AN653" s="229"/>
      <c r="AO653" s="229"/>
      <c r="AP653" s="229"/>
      <c r="AQ653" s="229"/>
      <c r="AR653" s="229"/>
      <c r="AS653" s="229"/>
      <c r="AT653" s="229"/>
      <c r="AU653" s="229"/>
      <c r="AV653" s="229"/>
      <c r="AW653" s="5"/>
      <c r="AX653" s="5"/>
      <c r="AY653" s="5"/>
      <c r="AZ653" s="5"/>
      <c r="BA653" s="5"/>
      <c r="BB653" s="5"/>
      <c r="BC653" s="5"/>
      <c r="BD653" s="5"/>
      <c r="BE653" s="5"/>
      <c r="BF653" s="5"/>
      <c r="BG653" s="5"/>
    </row>
    <row r="654" customFormat="false" ht="1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212"/>
      <c r="V654" s="212"/>
      <c r="W654" s="212"/>
      <c r="X654" s="212"/>
      <c r="Y654" s="212"/>
      <c r="Z654" s="212"/>
      <c r="AA654" s="212"/>
      <c r="AB654" s="212"/>
      <c r="AC654" s="241" t="n">
        <v>413</v>
      </c>
      <c r="AD654" s="243" t="s">
        <v>994</v>
      </c>
      <c r="AE654" s="229"/>
      <c r="AF654" s="229"/>
      <c r="AG654" s="229"/>
      <c r="AH654" s="238"/>
      <c r="AI654" s="240"/>
      <c r="AJ654" s="229"/>
      <c r="AK654" s="231"/>
      <c r="AL654" s="229"/>
      <c r="AM654" s="229"/>
      <c r="AN654" s="229"/>
      <c r="AO654" s="229"/>
      <c r="AP654" s="229"/>
      <c r="AQ654" s="229"/>
      <c r="AR654" s="229"/>
      <c r="AS654" s="229"/>
      <c r="AT654" s="229"/>
      <c r="AU654" s="229"/>
      <c r="AV654" s="229"/>
      <c r="AW654" s="5"/>
      <c r="AX654" s="5"/>
      <c r="AY654" s="5"/>
      <c r="AZ654" s="5"/>
      <c r="BA654" s="5"/>
      <c r="BB654" s="5"/>
      <c r="BC654" s="5"/>
      <c r="BD654" s="5"/>
      <c r="BE654" s="5"/>
      <c r="BF654" s="5"/>
      <c r="BG654" s="5"/>
    </row>
    <row r="655" customFormat="false" ht="1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212"/>
      <c r="V655" s="212"/>
      <c r="W655" s="212"/>
      <c r="X655" s="212"/>
      <c r="Y655" s="212"/>
      <c r="Z655" s="212"/>
      <c r="AA655" s="212"/>
      <c r="AB655" s="212"/>
      <c r="AC655" s="241" t="n">
        <v>414</v>
      </c>
      <c r="AD655" s="243" t="s">
        <v>995</v>
      </c>
      <c r="AE655" s="229"/>
      <c r="AF655" s="229"/>
      <c r="AG655" s="229"/>
      <c r="AH655" s="238"/>
      <c r="AI655" s="240"/>
      <c r="AJ655" s="229"/>
      <c r="AK655" s="231"/>
      <c r="AL655" s="229"/>
      <c r="AM655" s="229"/>
      <c r="AN655" s="229"/>
      <c r="AO655" s="229"/>
      <c r="AP655" s="229"/>
      <c r="AQ655" s="229"/>
      <c r="AR655" s="229"/>
      <c r="AS655" s="229"/>
      <c r="AT655" s="229"/>
      <c r="AU655" s="229"/>
      <c r="AV655" s="229"/>
      <c r="AW655" s="5"/>
      <c r="AX655" s="5"/>
      <c r="AY655" s="5"/>
      <c r="AZ655" s="5"/>
      <c r="BA655" s="5"/>
      <c r="BB655" s="5"/>
      <c r="BC655" s="5"/>
      <c r="BD655" s="5"/>
      <c r="BE655" s="5"/>
      <c r="BF655" s="5"/>
      <c r="BG655" s="5"/>
    </row>
    <row r="656" customFormat="false" ht="1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212"/>
      <c r="V656" s="212"/>
      <c r="W656" s="212"/>
      <c r="X656" s="212"/>
      <c r="Y656" s="212"/>
      <c r="Z656" s="212"/>
      <c r="AA656" s="212"/>
      <c r="AB656" s="212"/>
      <c r="AC656" s="241" t="n">
        <v>415</v>
      </c>
      <c r="AD656" s="243" t="s">
        <v>996</v>
      </c>
      <c r="AE656" s="229"/>
      <c r="AF656" s="229"/>
      <c r="AG656" s="229"/>
      <c r="AH656" s="238"/>
      <c r="AI656" s="240"/>
      <c r="AJ656" s="229"/>
      <c r="AK656" s="231"/>
      <c r="AL656" s="229"/>
      <c r="AM656" s="229"/>
      <c r="AN656" s="229"/>
      <c r="AO656" s="229"/>
      <c r="AP656" s="229"/>
      <c r="AQ656" s="229"/>
      <c r="AR656" s="229"/>
      <c r="AS656" s="229"/>
      <c r="AT656" s="229"/>
      <c r="AU656" s="229"/>
      <c r="AV656" s="229"/>
      <c r="AW656" s="5"/>
      <c r="AX656" s="5"/>
      <c r="AY656" s="5"/>
      <c r="AZ656" s="5"/>
      <c r="BA656" s="5"/>
      <c r="BB656" s="5"/>
      <c r="BC656" s="5"/>
      <c r="BD656" s="5"/>
      <c r="BE656" s="5"/>
      <c r="BF656" s="5"/>
      <c r="BG656" s="5"/>
    </row>
    <row r="657" customFormat="false" ht="1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212"/>
      <c r="V657" s="212"/>
      <c r="W657" s="212"/>
      <c r="X657" s="212"/>
      <c r="Y657" s="212"/>
      <c r="Z657" s="212"/>
      <c r="AA657" s="212"/>
      <c r="AB657" s="212"/>
      <c r="AC657" s="241" t="n">
        <v>416</v>
      </c>
      <c r="AD657" s="243" t="s">
        <v>997</v>
      </c>
      <c r="AE657" s="229"/>
      <c r="AF657" s="229"/>
      <c r="AG657" s="229"/>
      <c r="AH657" s="238"/>
      <c r="AI657" s="240"/>
      <c r="AJ657" s="229"/>
      <c r="AK657" s="231"/>
      <c r="AL657" s="229"/>
      <c r="AM657" s="229"/>
      <c r="AN657" s="229"/>
      <c r="AO657" s="229"/>
      <c r="AP657" s="229"/>
      <c r="AQ657" s="229"/>
      <c r="AR657" s="229"/>
      <c r="AS657" s="229"/>
      <c r="AT657" s="229"/>
      <c r="AU657" s="229"/>
      <c r="AV657" s="229"/>
      <c r="AW657" s="5"/>
      <c r="AX657" s="5"/>
      <c r="AY657" s="5"/>
      <c r="AZ657" s="5"/>
      <c r="BA657" s="5"/>
      <c r="BB657" s="5"/>
      <c r="BC657" s="5"/>
      <c r="BD657" s="5"/>
      <c r="BE657" s="5"/>
      <c r="BF657" s="5"/>
      <c r="BG657" s="5"/>
    </row>
    <row r="658" customFormat="false" ht="1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212"/>
      <c r="V658" s="212"/>
      <c r="W658" s="212"/>
      <c r="X658" s="212"/>
      <c r="Y658" s="212"/>
      <c r="Z658" s="212"/>
      <c r="AA658" s="212"/>
      <c r="AB658" s="212"/>
      <c r="AC658" s="241" t="n">
        <v>417</v>
      </c>
      <c r="AD658" s="243" t="s">
        <v>998</v>
      </c>
      <c r="AE658" s="229"/>
      <c r="AF658" s="229"/>
      <c r="AG658" s="229"/>
      <c r="AH658" s="238"/>
      <c r="AI658" s="240"/>
      <c r="AJ658" s="229"/>
      <c r="AK658" s="231"/>
      <c r="AL658" s="229"/>
      <c r="AM658" s="229"/>
      <c r="AN658" s="229"/>
      <c r="AO658" s="229"/>
      <c r="AP658" s="229"/>
      <c r="AQ658" s="229"/>
      <c r="AR658" s="229"/>
      <c r="AS658" s="229"/>
      <c r="AT658" s="229"/>
      <c r="AU658" s="229"/>
      <c r="AV658" s="229"/>
      <c r="AW658" s="5"/>
      <c r="AX658" s="5"/>
      <c r="AY658" s="5"/>
      <c r="AZ658" s="5"/>
      <c r="BA658" s="5"/>
      <c r="BB658" s="5"/>
      <c r="BC658" s="5"/>
      <c r="BD658" s="5"/>
      <c r="BE658" s="5"/>
      <c r="BF658" s="5"/>
      <c r="BG658" s="5"/>
    </row>
    <row r="659" customFormat="false" ht="1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212"/>
      <c r="V659" s="212"/>
      <c r="W659" s="212"/>
      <c r="X659" s="212"/>
      <c r="Y659" s="212"/>
      <c r="Z659" s="212"/>
      <c r="AA659" s="212"/>
      <c r="AB659" s="212"/>
      <c r="AC659" s="241" t="n">
        <v>418</v>
      </c>
      <c r="AD659" s="243" t="s">
        <v>999</v>
      </c>
      <c r="AE659" s="229"/>
      <c r="AF659" s="229"/>
      <c r="AG659" s="229"/>
      <c r="AH659" s="238"/>
      <c r="AI659" s="240"/>
      <c r="AJ659" s="229"/>
      <c r="AK659" s="231"/>
      <c r="AL659" s="229"/>
      <c r="AM659" s="229"/>
      <c r="AN659" s="229"/>
      <c r="AO659" s="229"/>
      <c r="AP659" s="229"/>
      <c r="AQ659" s="229"/>
      <c r="AR659" s="229"/>
      <c r="AS659" s="229"/>
      <c r="AT659" s="229"/>
      <c r="AU659" s="229"/>
      <c r="AV659" s="229"/>
      <c r="AW659" s="5"/>
      <c r="AX659" s="5"/>
      <c r="AY659" s="5"/>
      <c r="AZ659" s="5"/>
      <c r="BA659" s="5"/>
      <c r="BB659" s="5"/>
      <c r="BC659" s="5"/>
      <c r="BD659" s="5"/>
      <c r="BE659" s="5"/>
      <c r="BF659" s="5"/>
      <c r="BG659" s="5"/>
    </row>
    <row r="660" customFormat="false" ht="1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212"/>
      <c r="V660" s="212"/>
      <c r="W660" s="212"/>
      <c r="X660" s="212"/>
      <c r="Y660" s="212"/>
      <c r="Z660" s="212"/>
      <c r="AA660" s="212"/>
      <c r="AB660" s="212"/>
      <c r="AC660" s="241" t="n">
        <v>419</v>
      </c>
      <c r="AD660" s="243" t="s">
        <v>1000</v>
      </c>
      <c r="AE660" s="229"/>
      <c r="AF660" s="229"/>
      <c r="AG660" s="229"/>
      <c r="AH660" s="238"/>
      <c r="AI660" s="240"/>
      <c r="AJ660" s="229"/>
      <c r="AK660" s="231"/>
      <c r="AL660" s="229"/>
      <c r="AM660" s="229"/>
      <c r="AN660" s="229"/>
      <c r="AO660" s="229"/>
      <c r="AP660" s="229"/>
      <c r="AQ660" s="229"/>
      <c r="AR660" s="229"/>
      <c r="AS660" s="229"/>
      <c r="AT660" s="229"/>
      <c r="AU660" s="229"/>
      <c r="AV660" s="229"/>
      <c r="AW660" s="5"/>
      <c r="AX660" s="5"/>
      <c r="AY660" s="5"/>
      <c r="AZ660" s="5"/>
      <c r="BA660" s="5"/>
      <c r="BB660" s="5"/>
      <c r="BC660" s="5"/>
      <c r="BD660" s="5"/>
      <c r="BE660" s="5"/>
      <c r="BF660" s="5"/>
      <c r="BG660" s="5"/>
    </row>
    <row r="661" customFormat="false" ht="1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212"/>
      <c r="V661" s="212"/>
      <c r="W661" s="212"/>
      <c r="X661" s="212"/>
      <c r="Y661" s="212"/>
      <c r="Z661" s="212"/>
      <c r="AA661" s="212"/>
      <c r="AB661" s="212"/>
      <c r="AC661" s="241" t="n">
        <v>420</v>
      </c>
      <c r="AD661" s="243" t="s">
        <v>1001</v>
      </c>
      <c r="AE661" s="229"/>
      <c r="AF661" s="229"/>
      <c r="AG661" s="229"/>
      <c r="AH661" s="238"/>
      <c r="AI661" s="240"/>
      <c r="AJ661" s="229"/>
      <c r="AK661" s="231"/>
      <c r="AL661" s="229"/>
      <c r="AM661" s="229"/>
      <c r="AN661" s="229"/>
      <c r="AO661" s="229"/>
      <c r="AP661" s="229"/>
      <c r="AQ661" s="229"/>
      <c r="AR661" s="229"/>
      <c r="AS661" s="229"/>
      <c r="AT661" s="229"/>
      <c r="AU661" s="229"/>
      <c r="AV661" s="229"/>
      <c r="AW661" s="5"/>
      <c r="AX661" s="5"/>
      <c r="AY661" s="5"/>
      <c r="AZ661" s="5"/>
      <c r="BA661" s="5"/>
      <c r="BB661" s="5"/>
      <c r="BC661" s="5"/>
      <c r="BD661" s="5"/>
      <c r="BE661" s="5"/>
      <c r="BF661" s="5"/>
      <c r="BG661" s="5"/>
    </row>
    <row r="662" customFormat="false" ht="1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212"/>
      <c r="V662" s="212"/>
      <c r="W662" s="212"/>
      <c r="X662" s="212"/>
      <c r="Y662" s="212"/>
      <c r="Z662" s="212"/>
      <c r="AA662" s="212"/>
      <c r="AB662" s="212"/>
      <c r="AC662" s="241" t="n">
        <v>421</v>
      </c>
      <c r="AD662" s="243" t="s">
        <v>1002</v>
      </c>
      <c r="AE662" s="229"/>
      <c r="AF662" s="229"/>
      <c r="AG662" s="229"/>
      <c r="AH662" s="238"/>
      <c r="AI662" s="240"/>
      <c r="AJ662" s="229"/>
      <c r="AK662" s="231"/>
      <c r="AL662" s="229"/>
      <c r="AM662" s="229"/>
      <c r="AN662" s="229"/>
      <c r="AO662" s="229"/>
      <c r="AP662" s="229"/>
      <c r="AQ662" s="229"/>
      <c r="AR662" s="229"/>
      <c r="AS662" s="229"/>
      <c r="AT662" s="229"/>
      <c r="AU662" s="229"/>
      <c r="AV662" s="229"/>
      <c r="AW662" s="5"/>
      <c r="AX662" s="5"/>
      <c r="AY662" s="5"/>
      <c r="AZ662" s="5"/>
      <c r="BA662" s="5"/>
      <c r="BB662" s="5"/>
      <c r="BC662" s="5"/>
      <c r="BD662" s="5"/>
      <c r="BE662" s="5"/>
      <c r="BF662" s="5"/>
      <c r="BG662" s="5"/>
    </row>
    <row r="663" customFormat="false" ht="1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212"/>
      <c r="V663" s="212"/>
      <c r="W663" s="212"/>
      <c r="X663" s="212"/>
      <c r="Y663" s="212"/>
      <c r="Z663" s="212"/>
      <c r="AA663" s="212"/>
      <c r="AB663" s="212"/>
      <c r="AC663" s="241" t="n">
        <v>422</v>
      </c>
      <c r="AD663" s="243" t="s">
        <v>1003</v>
      </c>
      <c r="AE663" s="229"/>
      <c r="AF663" s="229"/>
      <c r="AG663" s="229"/>
      <c r="AH663" s="238"/>
      <c r="AI663" s="240"/>
      <c r="AJ663" s="229"/>
      <c r="AK663" s="231"/>
      <c r="AL663" s="229"/>
      <c r="AM663" s="229"/>
      <c r="AN663" s="229"/>
      <c r="AO663" s="229"/>
      <c r="AP663" s="229"/>
      <c r="AQ663" s="229"/>
      <c r="AR663" s="229"/>
      <c r="AS663" s="229"/>
      <c r="AT663" s="229"/>
      <c r="AU663" s="229"/>
      <c r="AV663" s="229"/>
      <c r="AW663" s="5"/>
      <c r="AX663" s="5"/>
      <c r="AY663" s="5"/>
      <c r="AZ663" s="5"/>
      <c r="BA663" s="5"/>
      <c r="BB663" s="5"/>
      <c r="BC663" s="5"/>
      <c r="BD663" s="5"/>
      <c r="BE663" s="5"/>
      <c r="BF663" s="5"/>
      <c r="BG663" s="5"/>
    </row>
    <row r="664" customFormat="false" ht="1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212"/>
      <c r="V664" s="212"/>
      <c r="W664" s="212"/>
      <c r="X664" s="212"/>
      <c r="Y664" s="212"/>
      <c r="Z664" s="212"/>
      <c r="AA664" s="212"/>
      <c r="AB664" s="212"/>
      <c r="AC664" s="241" t="n">
        <v>423</v>
      </c>
      <c r="AD664" s="243" t="s">
        <v>1004</v>
      </c>
      <c r="AE664" s="229"/>
      <c r="AF664" s="229"/>
      <c r="AG664" s="229"/>
      <c r="AH664" s="238"/>
      <c r="AI664" s="240"/>
      <c r="AJ664" s="229"/>
      <c r="AK664" s="231"/>
      <c r="AL664" s="229"/>
      <c r="AM664" s="229"/>
      <c r="AN664" s="229"/>
      <c r="AO664" s="229"/>
      <c r="AP664" s="229"/>
      <c r="AQ664" s="229"/>
      <c r="AR664" s="229"/>
      <c r="AS664" s="229"/>
      <c r="AT664" s="229"/>
      <c r="AU664" s="229"/>
      <c r="AV664" s="229"/>
      <c r="AW664" s="5"/>
      <c r="AX664" s="5"/>
      <c r="AY664" s="5"/>
      <c r="AZ664" s="5"/>
      <c r="BA664" s="5"/>
      <c r="BB664" s="5"/>
      <c r="BC664" s="5"/>
      <c r="BD664" s="5"/>
      <c r="BE664" s="5"/>
      <c r="BF664" s="5"/>
      <c r="BG664" s="5"/>
    </row>
    <row r="665" customFormat="false" ht="1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212"/>
      <c r="V665" s="212"/>
      <c r="W665" s="212"/>
      <c r="X665" s="212"/>
      <c r="Y665" s="212"/>
      <c r="Z665" s="212"/>
      <c r="AA665" s="212"/>
      <c r="AB665" s="212"/>
      <c r="AC665" s="241" t="n">
        <v>424</v>
      </c>
      <c r="AD665" s="243" t="s">
        <v>1005</v>
      </c>
      <c r="AE665" s="229"/>
      <c r="AF665" s="229"/>
      <c r="AG665" s="229"/>
      <c r="AH665" s="238"/>
      <c r="AI665" s="240"/>
      <c r="AJ665" s="229"/>
      <c r="AK665" s="231"/>
      <c r="AL665" s="229"/>
      <c r="AM665" s="229"/>
      <c r="AN665" s="229"/>
      <c r="AO665" s="229"/>
      <c r="AP665" s="229"/>
      <c r="AQ665" s="229"/>
      <c r="AR665" s="229"/>
      <c r="AS665" s="229"/>
      <c r="AT665" s="229"/>
      <c r="AU665" s="229"/>
      <c r="AV665" s="229"/>
      <c r="AW665" s="5"/>
      <c r="AX665" s="5"/>
      <c r="AY665" s="5"/>
      <c r="AZ665" s="5"/>
      <c r="BA665" s="5"/>
      <c r="BB665" s="5"/>
      <c r="BC665" s="5"/>
      <c r="BD665" s="5"/>
      <c r="BE665" s="5"/>
      <c r="BF665" s="5"/>
      <c r="BG665" s="5"/>
    </row>
    <row r="666" customFormat="false" ht="1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212"/>
      <c r="V666" s="212"/>
      <c r="W666" s="212"/>
      <c r="X666" s="212"/>
      <c r="Y666" s="212"/>
      <c r="Z666" s="212"/>
      <c r="AA666" s="212"/>
      <c r="AB666" s="212"/>
      <c r="AC666" s="241" t="n">
        <v>425</v>
      </c>
      <c r="AD666" s="243" t="s">
        <v>1006</v>
      </c>
      <c r="AE666" s="229"/>
      <c r="AF666" s="229"/>
      <c r="AG666" s="229"/>
      <c r="AH666" s="238"/>
      <c r="AI666" s="240"/>
      <c r="AJ666" s="229"/>
      <c r="AK666" s="231"/>
      <c r="AL666" s="229"/>
      <c r="AM666" s="229"/>
      <c r="AN666" s="229"/>
      <c r="AO666" s="229"/>
      <c r="AP666" s="229"/>
      <c r="AQ666" s="229"/>
      <c r="AR666" s="229"/>
      <c r="AS666" s="229"/>
      <c r="AT666" s="229"/>
      <c r="AU666" s="229"/>
      <c r="AV666" s="229"/>
      <c r="AW666" s="5"/>
      <c r="AX666" s="5"/>
      <c r="AY666" s="5"/>
      <c r="AZ666" s="5"/>
      <c r="BA666" s="5"/>
      <c r="BB666" s="5"/>
      <c r="BC666" s="5"/>
      <c r="BD666" s="5"/>
      <c r="BE666" s="5"/>
      <c r="BF666" s="5"/>
      <c r="BG666" s="5"/>
    </row>
    <row r="667" customFormat="false" ht="1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212"/>
      <c r="V667" s="212"/>
      <c r="W667" s="212"/>
      <c r="X667" s="212"/>
      <c r="Y667" s="212"/>
      <c r="Z667" s="212"/>
      <c r="AA667" s="212"/>
      <c r="AB667" s="212"/>
      <c r="AC667" s="241" t="n">
        <v>426</v>
      </c>
      <c r="AD667" s="243" t="s">
        <v>1007</v>
      </c>
      <c r="AE667" s="229"/>
      <c r="AF667" s="229"/>
      <c r="AG667" s="229"/>
      <c r="AH667" s="238"/>
      <c r="AI667" s="240"/>
      <c r="AJ667" s="229"/>
      <c r="AK667" s="231"/>
      <c r="AL667" s="229"/>
      <c r="AM667" s="229"/>
      <c r="AN667" s="229"/>
      <c r="AO667" s="229"/>
      <c r="AP667" s="229"/>
      <c r="AQ667" s="229"/>
      <c r="AR667" s="229"/>
      <c r="AS667" s="229"/>
      <c r="AT667" s="229"/>
      <c r="AU667" s="229"/>
      <c r="AV667" s="229"/>
      <c r="AW667" s="5"/>
      <c r="AX667" s="5"/>
      <c r="AY667" s="5"/>
      <c r="AZ667" s="5"/>
      <c r="BA667" s="5"/>
      <c r="BB667" s="5"/>
      <c r="BC667" s="5"/>
      <c r="BD667" s="5"/>
      <c r="BE667" s="5"/>
      <c r="BF667" s="5"/>
      <c r="BG667" s="5"/>
    </row>
    <row r="668" customFormat="false" ht="1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212"/>
      <c r="V668" s="212"/>
      <c r="W668" s="212"/>
      <c r="X668" s="212"/>
      <c r="Y668" s="212"/>
      <c r="Z668" s="212"/>
      <c r="AA668" s="212"/>
      <c r="AB668" s="212"/>
      <c r="AC668" s="241" t="n">
        <v>427</v>
      </c>
      <c r="AD668" s="243" t="s">
        <v>1008</v>
      </c>
      <c r="AE668" s="229"/>
      <c r="AF668" s="229"/>
      <c r="AG668" s="229"/>
      <c r="AH668" s="238"/>
      <c r="AI668" s="240"/>
      <c r="AJ668" s="229"/>
      <c r="AK668" s="231"/>
      <c r="AL668" s="229"/>
      <c r="AM668" s="229"/>
      <c r="AN668" s="229"/>
      <c r="AO668" s="229"/>
      <c r="AP668" s="229"/>
      <c r="AQ668" s="229"/>
      <c r="AR668" s="229"/>
      <c r="AS668" s="229"/>
      <c r="AT668" s="229"/>
      <c r="AU668" s="229"/>
      <c r="AV668" s="229"/>
      <c r="AW668" s="5"/>
      <c r="AX668" s="5"/>
      <c r="AY668" s="5"/>
      <c r="AZ668" s="5"/>
      <c r="BA668" s="5"/>
      <c r="BB668" s="5"/>
      <c r="BC668" s="5"/>
      <c r="BD668" s="5"/>
      <c r="BE668" s="5"/>
      <c r="BF668" s="5"/>
      <c r="BG668" s="5"/>
    </row>
    <row r="669" customFormat="false" ht="1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212"/>
      <c r="V669" s="212"/>
      <c r="W669" s="212"/>
      <c r="X669" s="212"/>
      <c r="Y669" s="212"/>
      <c r="Z669" s="212"/>
      <c r="AA669" s="212"/>
      <c r="AB669" s="212"/>
      <c r="AC669" s="241" t="n">
        <v>428</v>
      </c>
      <c r="AD669" s="243" t="s">
        <v>1009</v>
      </c>
      <c r="AE669" s="229"/>
      <c r="AF669" s="229"/>
      <c r="AG669" s="229"/>
      <c r="AH669" s="238"/>
      <c r="AI669" s="240"/>
      <c r="AJ669" s="229"/>
      <c r="AK669" s="231"/>
      <c r="AL669" s="229"/>
      <c r="AM669" s="229"/>
      <c r="AN669" s="229"/>
      <c r="AO669" s="229"/>
      <c r="AP669" s="229"/>
      <c r="AQ669" s="229"/>
      <c r="AR669" s="229"/>
      <c r="AS669" s="229"/>
      <c r="AT669" s="229"/>
      <c r="AU669" s="229"/>
      <c r="AV669" s="229"/>
      <c r="AW669" s="5"/>
      <c r="AX669" s="5"/>
      <c r="AY669" s="5"/>
      <c r="AZ669" s="5"/>
      <c r="BA669" s="5"/>
      <c r="BB669" s="5"/>
      <c r="BC669" s="5"/>
      <c r="BD669" s="5"/>
      <c r="BE669" s="5"/>
      <c r="BF669" s="5"/>
      <c r="BG669" s="5"/>
    </row>
    <row r="670" customFormat="false" ht="1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212"/>
      <c r="V670" s="212"/>
      <c r="W670" s="212"/>
      <c r="X670" s="212"/>
      <c r="Y670" s="212"/>
      <c r="Z670" s="212"/>
      <c r="AA670" s="212"/>
      <c r="AB670" s="212"/>
      <c r="AC670" s="241" t="n">
        <v>429</v>
      </c>
      <c r="AD670" s="243" t="s">
        <v>1010</v>
      </c>
      <c r="AE670" s="229"/>
      <c r="AF670" s="229"/>
      <c r="AG670" s="229"/>
      <c r="AH670" s="238"/>
      <c r="AI670" s="240"/>
      <c r="AJ670" s="229"/>
      <c r="AK670" s="231"/>
      <c r="AL670" s="229"/>
      <c r="AM670" s="229"/>
      <c r="AN670" s="229"/>
      <c r="AO670" s="229"/>
      <c r="AP670" s="229"/>
      <c r="AQ670" s="229"/>
      <c r="AR670" s="229"/>
      <c r="AS670" s="229"/>
      <c r="AT670" s="229"/>
      <c r="AU670" s="229"/>
      <c r="AV670" s="229"/>
      <c r="AW670" s="5"/>
      <c r="AX670" s="5"/>
      <c r="AY670" s="5"/>
      <c r="AZ670" s="5"/>
      <c r="BA670" s="5"/>
      <c r="BB670" s="5"/>
      <c r="BC670" s="5"/>
      <c r="BD670" s="5"/>
      <c r="BE670" s="5"/>
      <c r="BF670" s="5"/>
      <c r="BG670" s="5"/>
    </row>
    <row r="671" customFormat="false" ht="1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212"/>
      <c r="V671" s="212"/>
      <c r="W671" s="212"/>
      <c r="X671" s="212"/>
      <c r="Y671" s="212"/>
      <c r="Z671" s="212"/>
      <c r="AA671" s="212"/>
      <c r="AB671" s="212"/>
      <c r="AC671" s="241" t="n">
        <v>430</v>
      </c>
      <c r="AD671" s="243" t="s">
        <v>1011</v>
      </c>
      <c r="AE671" s="229"/>
      <c r="AF671" s="229"/>
      <c r="AG671" s="229"/>
      <c r="AH671" s="238"/>
      <c r="AI671" s="240"/>
      <c r="AJ671" s="229"/>
      <c r="AK671" s="231"/>
      <c r="AL671" s="229"/>
      <c r="AM671" s="229"/>
      <c r="AN671" s="229"/>
      <c r="AO671" s="229"/>
      <c r="AP671" s="229"/>
      <c r="AQ671" s="229"/>
      <c r="AR671" s="229"/>
      <c r="AS671" s="229"/>
      <c r="AT671" s="229"/>
      <c r="AU671" s="229"/>
      <c r="AV671" s="229"/>
      <c r="AW671" s="5"/>
      <c r="AX671" s="5"/>
      <c r="AY671" s="5"/>
      <c r="AZ671" s="5"/>
      <c r="BA671" s="5"/>
      <c r="BB671" s="5"/>
      <c r="BC671" s="5"/>
      <c r="BD671" s="5"/>
      <c r="BE671" s="5"/>
      <c r="BF671" s="5"/>
      <c r="BG671" s="5"/>
    </row>
    <row r="672" customFormat="false" ht="1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212"/>
      <c r="V672" s="212"/>
      <c r="W672" s="212"/>
      <c r="X672" s="212"/>
      <c r="Y672" s="212"/>
      <c r="Z672" s="212"/>
      <c r="AA672" s="212"/>
      <c r="AB672" s="212"/>
      <c r="AC672" s="241" t="n">
        <v>431</v>
      </c>
      <c r="AD672" s="243" t="s">
        <v>1012</v>
      </c>
      <c r="AE672" s="229"/>
      <c r="AF672" s="229"/>
      <c r="AG672" s="229"/>
      <c r="AH672" s="238"/>
      <c r="AI672" s="240"/>
      <c r="AJ672" s="229"/>
      <c r="AK672" s="231"/>
      <c r="AL672" s="229"/>
      <c r="AM672" s="229"/>
      <c r="AN672" s="229"/>
      <c r="AO672" s="229"/>
      <c r="AP672" s="229"/>
      <c r="AQ672" s="229"/>
      <c r="AR672" s="229"/>
      <c r="AS672" s="229"/>
      <c r="AT672" s="229"/>
      <c r="AU672" s="229"/>
      <c r="AV672" s="229"/>
      <c r="AW672" s="5"/>
      <c r="AX672" s="5"/>
      <c r="AY672" s="5"/>
      <c r="AZ672" s="5"/>
      <c r="BA672" s="5"/>
      <c r="BB672" s="5"/>
      <c r="BC672" s="5"/>
      <c r="BD672" s="5"/>
      <c r="BE672" s="5"/>
      <c r="BF672" s="5"/>
      <c r="BG672" s="5"/>
    </row>
    <row r="673" customFormat="false" ht="1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212"/>
      <c r="V673" s="212"/>
      <c r="W673" s="212"/>
      <c r="X673" s="212"/>
      <c r="Y673" s="212"/>
      <c r="Z673" s="212"/>
      <c r="AA673" s="212"/>
      <c r="AB673" s="212"/>
      <c r="AC673" s="241" t="n">
        <v>432</v>
      </c>
      <c r="AD673" s="243" t="s">
        <v>1013</v>
      </c>
      <c r="AE673" s="229"/>
      <c r="AF673" s="229"/>
      <c r="AG673" s="229"/>
      <c r="AH673" s="238"/>
      <c r="AI673" s="240"/>
      <c r="AJ673" s="229"/>
      <c r="AK673" s="231"/>
      <c r="AL673" s="229"/>
      <c r="AM673" s="229"/>
      <c r="AN673" s="229"/>
      <c r="AO673" s="229"/>
      <c r="AP673" s="229"/>
      <c r="AQ673" s="229"/>
      <c r="AR673" s="229"/>
      <c r="AS673" s="229"/>
      <c r="AT673" s="229"/>
      <c r="AU673" s="229"/>
      <c r="AV673" s="229"/>
      <c r="AW673" s="5"/>
      <c r="AX673" s="5"/>
      <c r="AY673" s="5"/>
      <c r="AZ673" s="5"/>
      <c r="BA673" s="5"/>
      <c r="BB673" s="5"/>
      <c r="BC673" s="5"/>
      <c r="BD673" s="5"/>
      <c r="BE673" s="5"/>
      <c r="BF673" s="5"/>
      <c r="BG673" s="5"/>
    </row>
    <row r="674" customFormat="false" ht="1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212"/>
      <c r="V674" s="212"/>
      <c r="W674" s="212"/>
      <c r="X674" s="212"/>
      <c r="Y674" s="212"/>
      <c r="Z674" s="212"/>
      <c r="AA674" s="212"/>
      <c r="AB674" s="212"/>
      <c r="AC674" s="241" t="n">
        <v>433</v>
      </c>
      <c r="AD674" s="243" t="s">
        <v>1014</v>
      </c>
      <c r="AE674" s="229"/>
      <c r="AF674" s="229"/>
      <c r="AG674" s="229"/>
      <c r="AH674" s="238"/>
      <c r="AI674" s="240"/>
      <c r="AJ674" s="229"/>
      <c r="AK674" s="231"/>
      <c r="AL674" s="229"/>
      <c r="AM674" s="229"/>
      <c r="AN674" s="229"/>
      <c r="AO674" s="229"/>
      <c r="AP674" s="229"/>
      <c r="AQ674" s="229"/>
      <c r="AR674" s="229"/>
      <c r="AS674" s="229"/>
      <c r="AT674" s="229"/>
      <c r="AU674" s="229"/>
      <c r="AV674" s="229"/>
      <c r="AW674" s="5"/>
      <c r="AX674" s="5"/>
      <c r="AY674" s="5"/>
      <c r="AZ674" s="5"/>
      <c r="BA674" s="5"/>
      <c r="BB674" s="5"/>
      <c r="BC674" s="5"/>
      <c r="BD674" s="5"/>
      <c r="BE674" s="5"/>
      <c r="BF674" s="5"/>
      <c r="BG674" s="5"/>
    </row>
    <row r="675" customFormat="false" ht="1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212"/>
      <c r="V675" s="212"/>
      <c r="W675" s="212"/>
      <c r="X675" s="212"/>
      <c r="Y675" s="212"/>
      <c r="Z675" s="212"/>
      <c r="AA675" s="212"/>
      <c r="AB675" s="212"/>
      <c r="AC675" s="241" t="n">
        <v>434</v>
      </c>
      <c r="AD675" s="243" t="s">
        <v>1015</v>
      </c>
      <c r="AE675" s="229"/>
      <c r="AF675" s="229"/>
      <c r="AG675" s="229"/>
      <c r="AH675" s="238"/>
      <c r="AI675" s="240"/>
      <c r="AJ675" s="229"/>
      <c r="AK675" s="231"/>
      <c r="AL675" s="229"/>
      <c r="AM675" s="229"/>
      <c r="AN675" s="229"/>
      <c r="AO675" s="229"/>
      <c r="AP675" s="229"/>
      <c r="AQ675" s="229"/>
      <c r="AR675" s="229"/>
      <c r="AS675" s="229"/>
      <c r="AT675" s="229"/>
      <c r="AU675" s="229"/>
      <c r="AV675" s="229"/>
      <c r="AW675" s="5"/>
      <c r="AX675" s="5"/>
      <c r="AY675" s="5"/>
      <c r="AZ675" s="5"/>
      <c r="BA675" s="5"/>
      <c r="BB675" s="5"/>
      <c r="BC675" s="5"/>
      <c r="BD675" s="5"/>
      <c r="BE675" s="5"/>
      <c r="BF675" s="5"/>
      <c r="BG675" s="5"/>
    </row>
    <row r="676" customFormat="false" ht="1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212"/>
      <c r="V676" s="212"/>
      <c r="W676" s="212"/>
      <c r="X676" s="212"/>
      <c r="Y676" s="212"/>
      <c r="Z676" s="212"/>
      <c r="AA676" s="212"/>
      <c r="AB676" s="212"/>
      <c r="AC676" s="241" t="n">
        <v>435</v>
      </c>
      <c r="AD676" s="243" t="s">
        <v>1016</v>
      </c>
      <c r="AE676" s="229"/>
      <c r="AF676" s="229"/>
      <c r="AG676" s="229"/>
      <c r="AH676" s="238"/>
      <c r="AI676" s="240"/>
      <c r="AJ676" s="229"/>
      <c r="AK676" s="231"/>
      <c r="AL676" s="229"/>
      <c r="AM676" s="229"/>
      <c r="AN676" s="229"/>
      <c r="AO676" s="229"/>
      <c r="AP676" s="229"/>
      <c r="AQ676" s="229"/>
      <c r="AR676" s="229"/>
      <c r="AS676" s="229"/>
      <c r="AT676" s="229"/>
      <c r="AU676" s="229"/>
      <c r="AV676" s="229"/>
      <c r="AW676" s="5"/>
      <c r="AX676" s="5"/>
      <c r="AY676" s="5"/>
      <c r="AZ676" s="5"/>
      <c r="BA676" s="5"/>
      <c r="BB676" s="5"/>
      <c r="BC676" s="5"/>
      <c r="BD676" s="5"/>
      <c r="BE676" s="5"/>
      <c r="BF676" s="5"/>
      <c r="BG676" s="5"/>
    </row>
    <row r="677" customFormat="false" ht="1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212"/>
      <c r="V677" s="212"/>
      <c r="W677" s="212"/>
      <c r="X677" s="212"/>
      <c r="Y677" s="212"/>
      <c r="Z677" s="212"/>
      <c r="AA677" s="212"/>
      <c r="AB677" s="212"/>
      <c r="AC677" s="241" t="n">
        <v>436</v>
      </c>
      <c r="AD677" s="243" t="s">
        <v>1017</v>
      </c>
      <c r="AE677" s="229"/>
      <c r="AF677" s="229"/>
      <c r="AG677" s="229"/>
      <c r="AH677" s="238"/>
      <c r="AI677" s="240"/>
      <c r="AJ677" s="229"/>
      <c r="AK677" s="231"/>
      <c r="AL677" s="229"/>
      <c r="AM677" s="229"/>
      <c r="AN677" s="229"/>
      <c r="AO677" s="229"/>
      <c r="AP677" s="229"/>
      <c r="AQ677" s="229"/>
      <c r="AR677" s="229"/>
      <c r="AS677" s="229"/>
      <c r="AT677" s="229"/>
      <c r="AU677" s="229"/>
      <c r="AV677" s="229"/>
      <c r="AW677" s="5"/>
      <c r="AX677" s="5"/>
      <c r="AY677" s="5"/>
      <c r="AZ677" s="5"/>
      <c r="BA677" s="5"/>
      <c r="BB677" s="5"/>
      <c r="BC677" s="5"/>
      <c r="BD677" s="5"/>
      <c r="BE677" s="5"/>
      <c r="BF677" s="5"/>
      <c r="BG677" s="5"/>
    </row>
    <row r="678" customFormat="false" ht="1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212"/>
      <c r="V678" s="212"/>
      <c r="W678" s="212"/>
      <c r="X678" s="212"/>
      <c r="Y678" s="212"/>
      <c r="Z678" s="212"/>
      <c r="AA678" s="212"/>
      <c r="AB678" s="212"/>
      <c r="AC678" s="241" t="n">
        <v>437</v>
      </c>
      <c r="AD678" s="243" t="s">
        <v>1018</v>
      </c>
      <c r="AE678" s="229"/>
      <c r="AF678" s="229"/>
      <c r="AG678" s="229"/>
      <c r="AH678" s="238"/>
      <c r="AI678" s="240"/>
      <c r="AJ678" s="229"/>
      <c r="AK678" s="231"/>
      <c r="AL678" s="229"/>
      <c r="AM678" s="229"/>
      <c r="AN678" s="229"/>
      <c r="AO678" s="229"/>
      <c r="AP678" s="229"/>
      <c r="AQ678" s="229"/>
      <c r="AR678" s="229"/>
      <c r="AS678" s="229"/>
      <c r="AT678" s="229"/>
      <c r="AU678" s="229"/>
      <c r="AV678" s="229"/>
      <c r="AW678" s="5"/>
      <c r="AX678" s="5"/>
      <c r="AY678" s="5"/>
      <c r="AZ678" s="5"/>
      <c r="BA678" s="5"/>
      <c r="BB678" s="5"/>
      <c r="BC678" s="5"/>
      <c r="BD678" s="5"/>
      <c r="BE678" s="5"/>
      <c r="BF678" s="5"/>
      <c r="BG678" s="5"/>
    </row>
    <row r="679" customFormat="false" ht="1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212"/>
      <c r="V679" s="212"/>
      <c r="W679" s="212"/>
      <c r="X679" s="212"/>
      <c r="Y679" s="212"/>
      <c r="Z679" s="212"/>
      <c r="AA679" s="212"/>
      <c r="AB679" s="212"/>
      <c r="AC679" s="241" t="n">
        <v>438</v>
      </c>
      <c r="AD679" s="243" t="s">
        <v>1019</v>
      </c>
      <c r="AE679" s="229"/>
      <c r="AF679" s="229"/>
      <c r="AG679" s="229"/>
      <c r="AH679" s="238"/>
      <c r="AI679" s="240"/>
      <c r="AJ679" s="229"/>
      <c r="AK679" s="231"/>
      <c r="AL679" s="229"/>
      <c r="AM679" s="229"/>
      <c r="AN679" s="229"/>
      <c r="AO679" s="229"/>
      <c r="AP679" s="229"/>
      <c r="AQ679" s="229"/>
      <c r="AR679" s="229"/>
      <c r="AS679" s="229"/>
      <c r="AT679" s="229"/>
      <c r="AU679" s="229"/>
      <c r="AV679" s="229"/>
      <c r="AW679" s="5"/>
      <c r="AX679" s="5"/>
      <c r="AY679" s="5"/>
      <c r="AZ679" s="5"/>
      <c r="BA679" s="5"/>
      <c r="BB679" s="5"/>
      <c r="BC679" s="5"/>
      <c r="BD679" s="5"/>
      <c r="BE679" s="5"/>
      <c r="BF679" s="5"/>
      <c r="BG679" s="5"/>
    </row>
    <row r="680" customFormat="false" ht="1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212"/>
      <c r="V680" s="212"/>
      <c r="W680" s="212"/>
      <c r="X680" s="212"/>
      <c r="Y680" s="212"/>
      <c r="Z680" s="212"/>
      <c r="AA680" s="212"/>
      <c r="AB680" s="212"/>
      <c r="AC680" s="241" t="n">
        <v>439</v>
      </c>
      <c r="AD680" s="243" t="s">
        <v>1020</v>
      </c>
      <c r="AE680" s="229"/>
      <c r="AF680" s="229"/>
      <c r="AG680" s="229"/>
      <c r="AH680" s="238"/>
      <c r="AI680" s="240"/>
      <c r="AJ680" s="229"/>
      <c r="AK680" s="231"/>
      <c r="AL680" s="229"/>
      <c r="AM680" s="229"/>
      <c r="AN680" s="229"/>
      <c r="AO680" s="229"/>
      <c r="AP680" s="229"/>
      <c r="AQ680" s="229"/>
      <c r="AR680" s="229"/>
      <c r="AS680" s="229"/>
      <c r="AT680" s="229"/>
      <c r="AU680" s="229"/>
      <c r="AV680" s="229"/>
      <c r="AW680" s="5"/>
      <c r="AX680" s="5"/>
      <c r="AY680" s="5"/>
      <c r="AZ680" s="5"/>
      <c r="BA680" s="5"/>
      <c r="BB680" s="5"/>
      <c r="BC680" s="5"/>
      <c r="BD680" s="5"/>
      <c r="BE680" s="5"/>
      <c r="BF680" s="5"/>
      <c r="BG680" s="5"/>
    </row>
    <row r="681" customFormat="false" ht="1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212"/>
      <c r="V681" s="212"/>
      <c r="W681" s="212"/>
      <c r="X681" s="212"/>
      <c r="Y681" s="212"/>
      <c r="Z681" s="212"/>
      <c r="AA681" s="212"/>
      <c r="AB681" s="212"/>
      <c r="AC681" s="241" t="n">
        <v>440</v>
      </c>
      <c r="AD681" s="243" t="s">
        <v>1021</v>
      </c>
      <c r="AE681" s="229"/>
      <c r="AF681" s="229"/>
      <c r="AG681" s="229"/>
      <c r="AH681" s="238"/>
      <c r="AI681" s="240"/>
      <c r="AJ681" s="229"/>
      <c r="AK681" s="231"/>
      <c r="AL681" s="229"/>
      <c r="AM681" s="229"/>
      <c r="AN681" s="229"/>
      <c r="AO681" s="229"/>
      <c r="AP681" s="229"/>
      <c r="AQ681" s="229"/>
      <c r="AR681" s="229"/>
      <c r="AS681" s="229"/>
      <c r="AT681" s="229"/>
      <c r="AU681" s="229"/>
      <c r="AV681" s="229"/>
      <c r="AW681" s="5"/>
      <c r="AX681" s="5"/>
      <c r="AY681" s="5"/>
      <c r="AZ681" s="5"/>
      <c r="BA681" s="5"/>
      <c r="BB681" s="5"/>
      <c r="BC681" s="5"/>
      <c r="BD681" s="5"/>
      <c r="BE681" s="5"/>
      <c r="BF681" s="5"/>
      <c r="BG681" s="5"/>
    </row>
    <row r="682" customFormat="false" ht="1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212"/>
      <c r="V682" s="212"/>
      <c r="W682" s="212"/>
      <c r="X682" s="212"/>
      <c r="Y682" s="212"/>
      <c r="Z682" s="212"/>
      <c r="AA682" s="212"/>
      <c r="AB682" s="212"/>
      <c r="AC682" s="241" t="n">
        <v>441</v>
      </c>
      <c r="AD682" s="243" t="s">
        <v>1022</v>
      </c>
      <c r="AE682" s="229"/>
      <c r="AF682" s="229"/>
      <c r="AG682" s="229"/>
      <c r="AH682" s="238"/>
      <c r="AI682" s="240"/>
      <c r="AJ682" s="229"/>
      <c r="AK682" s="231"/>
      <c r="AL682" s="229"/>
      <c r="AM682" s="229"/>
      <c r="AN682" s="229"/>
      <c r="AO682" s="229"/>
      <c r="AP682" s="229"/>
      <c r="AQ682" s="229"/>
      <c r="AR682" s="229"/>
      <c r="AS682" s="229"/>
      <c r="AT682" s="229"/>
      <c r="AU682" s="229"/>
      <c r="AV682" s="229"/>
      <c r="AW682" s="5"/>
      <c r="AX682" s="5"/>
      <c r="AY682" s="5"/>
      <c r="AZ682" s="5"/>
      <c r="BA682" s="5"/>
      <c r="BB682" s="5"/>
      <c r="BC682" s="5"/>
      <c r="BD682" s="5"/>
      <c r="BE682" s="5"/>
      <c r="BF682" s="5"/>
      <c r="BG682" s="5"/>
    </row>
    <row r="683" customFormat="false" ht="1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212"/>
      <c r="V683" s="212"/>
      <c r="W683" s="212"/>
      <c r="X683" s="212"/>
      <c r="Y683" s="212"/>
      <c r="Z683" s="212"/>
      <c r="AA683" s="212"/>
      <c r="AB683" s="212"/>
      <c r="AC683" s="241" t="n">
        <v>442</v>
      </c>
      <c r="AD683" s="243" t="s">
        <v>1023</v>
      </c>
      <c r="AE683" s="229"/>
      <c r="AF683" s="229"/>
      <c r="AG683" s="229"/>
      <c r="AH683" s="238"/>
      <c r="AI683" s="240"/>
      <c r="AJ683" s="229"/>
      <c r="AK683" s="231"/>
      <c r="AL683" s="229"/>
      <c r="AM683" s="229"/>
      <c r="AN683" s="229"/>
      <c r="AO683" s="229"/>
      <c r="AP683" s="229"/>
      <c r="AQ683" s="229"/>
      <c r="AR683" s="229"/>
      <c r="AS683" s="229"/>
      <c r="AT683" s="229"/>
      <c r="AU683" s="229"/>
      <c r="AV683" s="229"/>
      <c r="AW683" s="5"/>
      <c r="AX683" s="5"/>
      <c r="AY683" s="5"/>
      <c r="AZ683" s="5"/>
      <c r="BA683" s="5"/>
      <c r="BB683" s="5"/>
      <c r="BC683" s="5"/>
      <c r="BD683" s="5"/>
      <c r="BE683" s="5"/>
      <c r="BF683" s="5"/>
      <c r="BG683" s="5"/>
    </row>
    <row r="684" customFormat="false" ht="1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212"/>
      <c r="V684" s="212"/>
      <c r="W684" s="212"/>
      <c r="X684" s="212"/>
      <c r="Y684" s="212"/>
      <c r="Z684" s="212"/>
      <c r="AA684" s="212"/>
      <c r="AB684" s="212"/>
      <c r="AC684" s="241" t="n">
        <v>443</v>
      </c>
      <c r="AD684" s="243" t="s">
        <v>1024</v>
      </c>
      <c r="AE684" s="229"/>
      <c r="AF684" s="229"/>
      <c r="AG684" s="229"/>
      <c r="AH684" s="238"/>
      <c r="AI684" s="240"/>
      <c r="AJ684" s="229"/>
      <c r="AK684" s="231"/>
      <c r="AL684" s="229"/>
      <c r="AM684" s="229"/>
      <c r="AN684" s="229"/>
      <c r="AO684" s="229"/>
      <c r="AP684" s="229"/>
      <c r="AQ684" s="229"/>
      <c r="AR684" s="229"/>
      <c r="AS684" s="229"/>
      <c r="AT684" s="229"/>
      <c r="AU684" s="229"/>
      <c r="AV684" s="229"/>
      <c r="AW684" s="5"/>
      <c r="AX684" s="5"/>
      <c r="AY684" s="5"/>
      <c r="AZ684" s="5"/>
      <c r="BA684" s="5"/>
      <c r="BB684" s="5"/>
      <c r="BC684" s="5"/>
      <c r="BD684" s="5"/>
      <c r="BE684" s="5"/>
      <c r="BF684" s="5"/>
      <c r="BG684" s="5"/>
    </row>
    <row r="685" customFormat="false" ht="1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212"/>
      <c r="V685" s="212"/>
      <c r="W685" s="212"/>
      <c r="X685" s="212"/>
      <c r="Y685" s="212"/>
      <c r="Z685" s="212"/>
      <c r="AA685" s="212"/>
      <c r="AB685" s="212"/>
      <c r="AC685" s="241" t="n">
        <v>444</v>
      </c>
      <c r="AD685" s="243" t="s">
        <v>1025</v>
      </c>
      <c r="AE685" s="229"/>
      <c r="AF685" s="229"/>
      <c r="AG685" s="229"/>
      <c r="AH685" s="238"/>
      <c r="AI685" s="240"/>
      <c r="AJ685" s="229"/>
      <c r="AK685" s="231"/>
      <c r="AL685" s="229"/>
      <c r="AM685" s="229"/>
      <c r="AN685" s="229"/>
      <c r="AO685" s="229"/>
      <c r="AP685" s="229"/>
      <c r="AQ685" s="229"/>
      <c r="AR685" s="229"/>
      <c r="AS685" s="229"/>
      <c r="AT685" s="229"/>
      <c r="AU685" s="229"/>
      <c r="AV685" s="229"/>
      <c r="AW685" s="5"/>
      <c r="AX685" s="5"/>
      <c r="AY685" s="5"/>
      <c r="AZ685" s="5"/>
      <c r="BA685" s="5"/>
      <c r="BB685" s="5"/>
      <c r="BC685" s="5"/>
      <c r="BD685" s="5"/>
      <c r="BE685" s="5"/>
      <c r="BF685" s="5"/>
      <c r="BG685" s="5"/>
    </row>
    <row r="686" customFormat="false" ht="1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212"/>
      <c r="V686" s="212"/>
      <c r="W686" s="212"/>
      <c r="X686" s="212"/>
      <c r="Y686" s="212"/>
      <c r="Z686" s="212"/>
      <c r="AA686" s="212"/>
      <c r="AB686" s="212"/>
      <c r="AC686" s="241" t="n">
        <v>445</v>
      </c>
      <c r="AD686" s="243" t="s">
        <v>1026</v>
      </c>
      <c r="AE686" s="229"/>
      <c r="AF686" s="229"/>
      <c r="AG686" s="229"/>
      <c r="AH686" s="238"/>
      <c r="AI686" s="240"/>
      <c r="AJ686" s="229"/>
      <c r="AK686" s="231"/>
      <c r="AL686" s="229"/>
      <c r="AM686" s="229"/>
      <c r="AN686" s="229"/>
      <c r="AO686" s="229"/>
      <c r="AP686" s="229"/>
      <c r="AQ686" s="229"/>
      <c r="AR686" s="229"/>
      <c r="AS686" s="229"/>
      <c r="AT686" s="229"/>
      <c r="AU686" s="229"/>
      <c r="AV686" s="229"/>
      <c r="AW686" s="5"/>
      <c r="AX686" s="5"/>
      <c r="AY686" s="5"/>
      <c r="AZ686" s="5"/>
      <c r="BA686" s="5"/>
      <c r="BB686" s="5"/>
      <c r="BC686" s="5"/>
      <c r="BD686" s="5"/>
      <c r="BE686" s="5"/>
      <c r="BF686" s="5"/>
      <c r="BG686" s="5"/>
    </row>
    <row r="687" customFormat="false" ht="1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212"/>
      <c r="V687" s="212"/>
      <c r="W687" s="212"/>
      <c r="X687" s="212"/>
      <c r="Y687" s="212"/>
      <c r="Z687" s="212"/>
      <c r="AA687" s="212"/>
      <c r="AB687" s="212"/>
      <c r="AC687" s="241" t="n">
        <v>446</v>
      </c>
      <c r="AD687" s="243" t="s">
        <v>1027</v>
      </c>
      <c r="AE687" s="229"/>
      <c r="AF687" s="229"/>
      <c r="AG687" s="229"/>
      <c r="AH687" s="238"/>
      <c r="AI687" s="240"/>
      <c r="AJ687" s="229"/>
      <c r="AK687" s="231"/>
      <c r="AL687" s="229"/>
      <c r="AM687" s="229"/>
      <c r="AN687" s="229"/>
      <c r="AO687" s="229"/>
      <c r="AP687" s="229"/>
      <c r="AQ687" s="229"/>
      <c r="AR687" s="229"/>
      <c r="AS687" s="229"/>
      <c r="AT687" s="229"/>
      <c r="AU687" s="229"/>
      <c r="AV687" s="229"/>
      <c r="AW687" s="5"/>
      <c r="AX687" s="5"/>
      <c r="AY687" s="5"/>
      <c r="AZ687" s="5"/>
      <c r="BA687" s="5"/>
      <c r="BB687" s="5"/>
      <c r="BC687" s="5"/>
      <c r="BD687" s="5"/>
      <c r="BE687" s="5"/>
      <c r="BF687" s="5"/>
      <c r="BG687" s="5"/>
    </row>
    <row r="688" customFormat="false" ht="1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212"/>
      <c r="V688" s="212"/>
      <c r="W688" s="212"/>
      <c r="X688" s="212"/>
      <c r="Y688" s="212"/>
      <c r="Z688" s="212"/>
      <c r="AA688" s="212"/>
      <c r="AB688" s="212"/>
      <c r="AC688" s="241" t="n">
        <v>447</v>
      </c>
      <c r="AD688" s="243" t="s">
        <v>1028</v>
      </c>
      <c r="AE688" s="229"/>
      <c r="AF688" s="229"/>
      <c r="AG688" s="229"/>
      <c r="AH688" s="238"/>
      <c r="AI688" s="240"/>
      <c r="AJ688" s="229"/>
      <c r="AK688" s="231"/>
      <c r="AL688" s="229"/>
      <c r="AM688" s="229"/>
      <c r="AN688" s="229"/>
      <c r="AO688" s="229"/>
      <c r="AP688" s="229"/>
      <c r="AQ688" s="229"/>
      <c r="AR688" s="229"/>
      <c r="AS688" s="229"/>
      <c r="AT688" s="229"/>
      <c r="AU688" s="229"/>
      <c r="AV688" s="229"/>
      <c r="AW688" s="5"/>
      <c r="AX688" s="5"/>
      <c r="AY688" s="5"/>
      <c r="AZ688" s="5"/>
      <c r="BA688" s="5"/>
      <c r="BB688" s="5"/>
      <c r="BC688" s="5"/>
      <c r="BD688" s="5"/>
      <c r="BE688" s="5"/>
      <c r="BF688" s="5"/>
      <c r="BG688" s="5"/>
    </row>
    <row r="689" customFormat="false" ht="1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212"/>
      <c r="V689" s="212"/>
      <c r="W689" s="212"/>
      <c r="X689" s="212"/>
      <c r="Y689" s="212"/>
      <c r="Z689" s="212"/>
      <c r="AA689" s="212"/>
      <c r="AB689" s="212"/>
      <c r="AC689" s="241" t="n">
        <v>448</v>
      </c>
      <c r="AD689" s="243" t="s">
        <v>1029</v>
      </c>
      <c r="AE689" s="229"/>
      <c r="AF689" s="229"/>
      <c r="AG689" s="229"/>
      <c r="AH689" s="238"/>
      <c r="AI689" s="240"/>
      <c r="AJ689" s="229"/>
      <c r="AK689" s="231"/>
      <c r="AL689" s="229"/>
      <c r="AM689" s="229"/>
      <c r="AN689" s="229"/>
      <c r="AO689" s="229"/>
      <c r="AP689" s="229"/>
      <c r="AQ689" s="229"/>
      <c r="AR689" s="229"/>
      <c r="AS689" s="229"/>
      <c r="AT689" s="229"/>
      <c r="AU689" s="229"/>
      <c r="AV689" s="229"/>
      <c r="AW689" s="5"/>
      <c r="AX689" s="5"/>
      <c r="AY689" s="5"/>
      <c r="AZ689" s="5"/>
      <c r="BA689" s="5"/>
      <c r="BB689" s="5"/>
      <c r="BC689" s="5"/>
      <c r="BD689" s="5"/>
      <c r="BE689" s="5"/>
      <c r="BF689" s="5"/>
      <c r="BG689" s="5"/>
    </row>
    <row r="690" customFormat="false" ht="1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212"/>
      <c r="V690" s="212"/>
      <c r="W690" s="212"/>
      <c r="X690" s="212"/>
      <c r="Y690" s="212"/>
      <c r="Z690" s="212"/>
      <c r="AA690" s="212"/>
      <c r="AB690" s="212"/>
      <c r="AC690" s="241" t="n">
        <v>449</v>
      </c>
      <c r="AD690" s="243" t="s">
        <v>1030</v>
      </c>
      <c r="AE690" s="229"/>
      <c r="AF690" s="229"/>
      <c r="AG690" s="229"/>
      <c r="AH690" s="238"/>
      <c r="AI690" s="240"/>
      <c r="AJ690" s="229"/>
      <c r="AK690" s="231"/>
      <c r="AL690" s="229"/>
      <c r="AM690" s="229"/>
      <c r="AN690" s="229"/>
      <c r="AO690" s="229"/>
      <c r="AP690" s="229"/>
      <c r="AQ690" s="229"/>
      <c r="AR690" s="229"/>
      <c r="AS690" s="229"/>
      <c r="AT690" s="229"/>
      <c r="AU690" s="229"/>
      <c r="AV690" s="229"/>
      <c r="AW690" s="5"/>
      <c r="AX690" s="5"/>
      <c r="AY690" s="5"/>
      <c r="AZ690" s="5"/>
      <c r="BA690" s="5"/>
      <c r="BB690" s="5"/>
      <c r="BC690" s="5"/>
      <c r="BD690" s="5"/>
      <c r="BE690" s="5"/>
      <c r="BF690" s="5"/>
      <c r="BG690" s="5"/>
    </row>
    <row r="691" customFormat="false" ht="1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212"/>
      <c r="V691" s="212"/>
      <c r="W691" s="212"/>
      <c r="X691" s="212"/>
      <c r="Y691" s="212"/>
      <c r="Z691" s="212"/>
      <c r="AA691" s="212"/>
      <c r="AB691" s="212"/>
      <c r="AC691" s="241" t="n">
        <v>450</v>
      </c>
      <c r="AD691" s="243" t="s">
        <v>1031</v>
      </c>
      <c r="AE691" s="229"/>
      <c r="AF691" s="229"/>
      <c r="AG691" s="229"/>
      <c r="AH691" s="238"/>
      <c r="AI691" s="240"/>
      <c r="AJ691" s="229"/>
      <c r="AK691" s="231"/>
      <c r="AL691" s="229"/>
      <c r="AM691" s="229"/>
      <c r="AN691" s="229"/>
      <c r="AO691" s="229"/>
      <c r="AP691" s="229"/>
      <c r="AQ691" s="229"/>
      <c r="AR691" s="229"/>
      <c r="AS691" s="229"/>
      <c r="AT691" s="229"/>
      <c r="AU691" s="229"/>
      <c r="AV691" s="229"/>
      <c r="AW691" s="5"/>
      <c r="AX691" s="5"/>
      <c r="AY691" s="5"/>
      <c r="AZ691" s="5"/>
      <c r="BA691" s="5"/>
      <c r="BB691" s="5"/>
      <c r="BC691" s="5"/>
      <c r="BD691" s="5"/>
      <c r="BE691" s="5"/>
      <c r="BF691" s="5"/>
      <c r="BG691" s="5"/>
    </row>
    <row r="692" customFormat="false" ht="1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212"/>
      <c r="V692" s="212"/>
      <c r="W692" s="212"/>
      <c r="X692" s="212"/>
      <c r="Y692" s="212"/>
      <c r="Z692" s="212"/>
      <c r="AA692" s="212"/>
      <c r="AB692" s="212"/>
      <c r="AC692" s="241" t="n">
        <v>451</v>
      </c>
      <c r="AD692" s="243" t="s">
        <v>1032</v>
      </c>
      <c r="AE692" s="229"/>
      <c r="AF692" s="229"/>
      <c r="AG692" s="229"/>
      <c r="AH692" s="238"/>
      <c r="AI692" s="240"/>
      <c r="AJ692" s="229"/>
      <c r="AK692" s="231"/>
      <c r="AL692" s="229"/>
      <c r="AM692" s="229"/>
      <c r="AN692" s="229"/>
      <c r="AO692" s="229"/>
      <c r="AP692" s="229"/>
      <c r="AQ692" s="229"/>
      <c r="AR692" s="229"/>
      <c r="AS692" s="229"/>
      <c r="AT692" s="229"/>
      <c r="AU692" s="229"/>
      <c r="AV692" s="229"/>
      <c r="AW692" s="5"/>
      <c r="AX692" s="5"/>
      <c r="AY692" s="5"/>
      <c r="AZ692" s="5"/>
      <c r="BA692" s="5"/>
      <c r="BB692" s="5"/>
      <c r="BC692" s="5"/>
      <c r="BD692" s="5"/>
      <c r="BE692" s="5"/>
      <c r="BF692" s="5"/>
      <c r="BG692" s="5"/>
    </row>
    <row r="693" customFormat="false" ht="1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212"/>
      <c r="V693" s="212"/>
      <c r="W693" s="212"/>
      <c r="X693" s="212"/>
      <c r="Y693" s="212"/>
      <c r="Z693" s="212"/>
      <c r="AA693" s="212"/>
      <c r="AB693" s="212"/>
      <c r="AC693" s="241" t="n">
        <v>452</v>
      </c>
      <c r="AD693" s="243" t="s">
        <v>1033</v>
      </c>
      <c r="AE693" s="229"/>
      <c r="AF693" s="229"/>
      <c r="AG693" s="229"/>
      <c r="AH693" s="238"/>
      <c r="AI693" s="240"/>
      <c r="AJ693" s="229"/>
      <c r="AK693" s="231"/>
      <c r="AL693" s="229"/>
      <c r="AM693" s="229"/>
      <c r="AN693" s="229"/>
      <c r="AO693" s="229"/>
      <c r="AP693" s="229"/>
      <c r="AQ693" s="229"/>
      <c r="AR693" s="229"/>
      <c r="AS693" s="229"/>
      <c r="AT693" s="229"/>
      <c r="AU693" s="229"/>
      <c r="AV693" s="229"/>
      <c r="AW693" s="5"/>
      <c r="AX693" s="5"/>
      <c r="AY693" s="5"/>
      <c r="AZ693" s="5"/>
      <c r="BA693" s="5"/>
      <c r="BB693" s="5"/>
      <c r="BC693" s="5"/>
      <c r="BD693" s="5"/>
      <c r="BE693" s="5"/>
      <c r="BF693" s="5"/>
      <c r="BG693" s="5"/>
    </row>
    <row r="694" customFormat="false" ht="1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212"/>
      <c r="V694" s="212"/>
      <c r="W694" s="212"/>
      <c r="X694" s="212"/>
      <c r="Y694" s="212"/>
      <c r="Z694" s="212"/>
      <c r="AA694" s="212"/>
      <c r="AB694" s="212"/>
      <c r="AC694" s="241" t="n">
        <v>453</v>
      </c>
      <c r="AD694" s="243" t="s">
        <v>1034</v>
      </c>
      <c r="AE694" s="229"/>
      <c r="AF694" s="229"/>
      <c r="AG694" s="229"/>
      <c r="AH694" s="238"/>
      <c r="AI694" s="240"/>
      <c r="AJ694" s="229"/>
      <c r="AK694" s="231"/>
      <c r="AL694" s="229"/>
      <c r="AM694" s="229"/>
      <c r="AN694" s="229"/>
      <c r="AO694" s="229"/>
      <c r="AP694" s="229"/>
      <c r="AQ694" s="229"/>
      <c r="AR694" s="229"/>
      <c r="AS694" s="229"/>
      <c r="AT694" s="229"/>
      <c r="AU694" s="229"/>
      <c r="AV694" s="229"/>
      <c r="AW694" s="5"/>
      <c r="AX694" s="5"/>
      <c r="AY694" s="5"/>
      <c r="AZ694" s="5"/>
      <c r="BA694" s="5"/>
      <c r="BB694" s="5"/>
      <c r="BC694" s="5"/>
      <c r="BD694" s="5"/>
      <c r="BE694" s="5"/>
      <c r="BF694" s="5"/>
      <c r="BG694" s="5"/>
    </row>
    <row r="695" customFormat="false" ht="1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212"/>
      <c r="V695" s="212"/>
      <c r="W695" s="212"/>
      <c r="X695" s="212"/>
      <c r="Y695" s="212"/>
      <c r="Z695" s="212"/>
      <c r="AA695" s="212"/>
      <c r="AB695" s="212"/>
      <c r="AC695" s="241" t="n">
        <v>454</v>
      </c>
      <c r="AD695" s="243" t="s">
        <v>1035</v>
      </c>
      <c r="AE695" s="229"/>
      <c r="AF695" s="229"/>
      <c r="AG695" s="229"/>
      <c r="AH695" s="238"/>
      <c r="AI695" s="240"/>
      <c r="AJ695" s="229"/>
      <c r="AK695" s="231"/>
      <c r="AL695" s="229"/>
      <c r="AM695" s="229"/>
      <c r="AN695" s="229"/>
      <c r="AO695" s="229"/>
      <c r="AP695" s="229"/>
      <c r="AQ695" s="229"/>
      <c r="AR695" s="229"/>
      <c r="AS695" s="229"/>
      <c r="AT695" s="229"/>
      <c r="AU695" s="229"/>
      <c r="AV695" s="229"/>
      <c r="AW695" s="5"/>
      <c r="AX695" s="5"/>
      <c r="AY695" s="5"/>
      <c r="AZ695" s="5"/>
      <c r="BA695" s="5"/>
      <c r="BB695" s="5"/>
      <c r="BC695" s="5"/>
      <c r="BD695" s="5"/>
      <c r="BE695" s="5"/>
      <c r="BF695" s="5"/>
      <c r="BG695" s="5"/>
    </row>
    <row r="696" customFormat="false" ht="1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212"/>
      <c r="V696" s="212"/>
      <c r="W696" s="212"/>
      <c r="X696" s="212"/>
      <c r="Y696" s="212"/>
      <c r="Z696" s="212"/>
      <c r="AA696" s="212"/>
      <c r="AB696" s="212"/>
      <c r="AC696" s="241" t="n">
        <v>455</v>
      </c>
      <c r="AD696" s="243" t="s">
        <v>1036</v>
      </c>
      <c r="AE696" s="229"/>
      <c r="AF696" s="229"/>
      <c r="AG696" s="229"/>
      <c r="AH696" s="238"/>
      <c r="AI696" s="240"/>
      <c r="AJ696" s="229"/>
      <c r="AK696" s="231"/>
      <c r="AL696" s="229"/>
      <c r="AM696" s="229"/>
      <c r="AN696" s="229"/>
      <c r="AO696" s="229"/>
      <c r="AP696" s="229"/>
      <c r="AQ696" s="229"/>
      <c r="AR696" s="229"/>
      <c r="AS696" s="229"/>
      <c r="AT696" s="229"/>
      <c r="AU696" s="229"/>
      <c r="AV696" s="229"/>
      <c r="AW696" s="5"/>
      <c r="AX696" s="5"/>
      <c r="AY696" s="5"/>
      <c r="AZ696" s="5"/>
      <c r="BA696" s="5"/>
      <c r="BB696" s="5"/>
      <c r="BC696" s="5"/>
      <c r="BD696" s="5"/>
      <c r="BE696" s="5"/>
      <c r="BF696" s="5"/>
      <c r="BG696" s="5"/>
    </row>
    <row r="697" customFormat="false" ht="1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212"/>
      <c r="V697" s="212"/>
      <c r="W697" s="212"/>
      <c r="X697" s="212"/>
      <c r="Y697" s="212"/>
      <c r="Z697" s="212"/>
      <c r="AA697" s="212"/>
      <c r="AB697" s="212"/>
      <c r="AC697" s="241" t="n">
        <v>456</v>
      </c>
      <c r="AD697" s="243" t="s">
        <v>1037</v>
      </c>
      <c r="AE697" s="229"/>
      <c r="AF697" s="229"/>
      <c r="AG697" s="229"/>
      <c r="AH697" s="238"/>
      <c r="AI697" s="240"/>
      <c r="AJ697" s="229"/>
      <c r="AK697" s="231"/>
      <c r="AL697" s="229"/>
      <c r="AM697" s="229"/>
      <c r="AN697" s="229"/>
      <c r="AO697" s="229"/>
      <c r="AP697" s="229"/>
      <c r="AQ697" s="229"/>
      <c r="AR697" s="229"/>
      <c r="AS697" s="229"/>
      <c r="AT697" s="229"/>
      <c r="AU697" s="229"/>
      <c r="AV697" s="229"/>
      <c r="AW697" s="5"/>
      <c r="AX697" s="5"/>
      <c r="AY697" s="5"/>
      <c r="AZ697" s="5"/>
      <c r="BA697" s="5"/>
      <c r="BB697" s="5"/>
      <c r="BC697" s="5"/>
      <c r="BD697" s="5"/>
      <c r="BE697" s="5"/>
      <c r="BF697" s="5"/>
      <c r="BG697" s="5"/>
    </row>
    <row r="698" customFormat="false" ht="1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212"/>
      <c r="V698" s="212"/>
      <c r="W698" s="212"/>
      <c r="X698" s="212"/>
      <c r="Y698" s="212"/>
      <c r="Z698" s="212"/>
      <c r="AA698" s="212"/>
      <c r="AB698" s="212"/>
      <c r="AC698" s="241" t="n">
        <v>457</v>
      </c>
      <c r="AD698" s="243" t="s">
        <v>1038</v>
      </c>
      <c r="AE698" s="229"/>
      <c r="AF698" s="229"/>
      <c r="AG698" s="229"/>
      <c r="AH698" s="238"/>
      <c r="AI698" s="240"/>
      <c r="AJ698" s="229"/>
      <c r="AK698" s="231"/>
      <c r="AL698" s="229"/>
      <c r="AM698" s="229"/>
      <c r="AN698" s="229"/>
      <c r="AO698" s="229"/>
      <c r="AP698" s="229"/>
      <c r="AQ698" s="229"/>
      <c r="AR698" s="229"/>
      <c r="AS698" s="229"/>
      <c r="AT698" s="229"/>
      <c r="AU698" s="229"/>
      <c r="AV698" s="229"/>
      <c r="AW698" s="5"/>
      <c r="AX698" s="5"/>
      <c r="AY698" s="5"/>
      <c r="AZ698" s="5"/>
      <c r="BA698" s="5"/>
      <c r="BB698" s="5"/>
      <c r="BC698" s="5"/>
      <c r="BD698" s="5"/>
      <c r="BE698" s="5"/>
      <c r="BF698" s="5"/>
      <c r="BG698" s="5"/>
    </row>
    <row r="699" customFormat="false" ht="1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212"/>
      <c r="V699" s="212"/>
      <c r="W699" s="212"/>
      <c r="X699" s="212"/>
      <c r="Y699" s="212"/>
      <c r="Z699" s="212"/>
      <c r="AA699" s="212"/>
      <c r="AB699" s="212"/>
      <c r="AC699" s="241" t="n">
        <v>458</v>
      </c>
      <c r="AD699" s="243" t="s">
        <v>1039</v>
      </c>
      <c r="AE699" s="229"/>
      <c r="AF699" s="229"/>
      <c r="AG699" s="229"/>
      <c r="AH699" s="238"/>
      <c r="AI699" s="240"/>
      <c r="AJ699" s="229"/>
      <c r="AK699" s="231"/>
      <c r="AL699" s="229"/>
      <c r="AM699" s="229"/>
      <c r="AN699" s="229"/>
      <c r="AO699" s="229"/>
      <c r="AP699" s="229"/>
      <c r="AQ699" s="229"/>
      <c r="AR699" s="229"/>
      <c r="AS699" s="229"/>
      <c r="AT699" s="229"/>
      <c r="AU699" s="229"/>
      <c r="AV699" s="229"/>
      <c r="AW699" s="5"/>
      <c r="AX699" s="5"/>
      <c r="AY699" s="5"/>
      <c r="AZ699" s="5"/>
      <c r="BA699" s="5"/>
      <c r="BB699" s="5"/>
      <c r="BC699" s="5"/>
      <c r="BD699" s="5"/>
      <c r="BE699" s="5"/>
      <c r="BF699" s="5"/>
      <c r="BG699" s="5"/>
    </row>
    <row r="700" customFormat="false" ht="1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212"/>
      <c r="V700" s="212"/>
      <c r="W700" s="212"/>
      <c r="X700" s="212"/>
      <c r="Y700" s="212"/>
      <c r="Z700" s="212"/>
      <c r="AA700" s="212"/>
      <c r="AB700" s="212"/>
      <c r="AC700" s="241" t="n">
        <v>459</v>
      </c>
      <c r="AD700" s="243" t="s">
        <v>1040</v>
      </c>
      <c r="AE700" s="229"/>
      <c r="AF700" s="229"/>
      <c r="AG700" s="229"/>
      <c r="AH700" s="238"/>
      <c r="AI700" s="240"/>
      <c r="AJ700" s="229"/>
      <c r="AK700" s="231"/>
      <c r="AL700" s="229"/>
      <c r="AM700" s="229"/>
      <c r="AN700" s="229"/>
      <c r="AO700" s="229"/>
      <c r="AP700" s="229"/>
      <c r="AQ700" s="229"/>
      <c r="AR700" s="229"/>
      <c r="AS700" s="229"/>
      <c r="AT700" s="229"/>
      <c r="AU700" s="229"/>
      <c r="AV700" s="229"/>
      <c r="AW700" s="5"/>
      <c r="AX700" s="5"/>
      <c r="AY700" s="5"/>
      <c r="AZ700" s="5"/>
      <c r="BA700" s="5"/>
      <c r="BB700" s="5"/>
      <c r="BC700" s="5"/>
      <c r="BD700" s="5"/>
      <c r="BE700" s="5"/>
      <c r="BF700" s="5"/>
      <c r="BG700" s="5"/>
    </row>
    <row r="701" customFormat="false" ht="1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212"/>
      <c r="V701" s="212"/>
      <c r="W701" s="212"/>
      <c r="X701" s="212"/>
      <c r="Y701" s="212"/>
      <c r="Z701" s="212"/>
      <c r="AA701" s="212"/>
      <c r="AB701" s="212"/>
      <c r="AC701" s="241" t="n">
        <v>460</v>
      </c>
      <c r="AD701" s="243" t="s">
        <v>1041</v>
      </c>
      <c r="AE701" s="229"/>
      <c r="AF701" s="229"/>
      <c r="AG701" s="229"/>
      <c r="AH701" s="238"/>
      <c r="AI701" s="240"/>
      <c r="AJ701" s="229"/>
      <c r="AK701" s="231"/>
      <c r="AL701" s="229"/>
      <c r="AM701" s="229"/>
      <c r="AN701" s="229"/>
      <c r="AO701" s="229"/>
      <c r="AP701" s="229"/>
      <c r="AQ701" s="229"/>
      <c r="AR701" s="229"/>
      <c r="AS701" s="229"/>
      <c r="AT701" s="229"/>
      <c r="AU701" s="229"/>
      <c r="AV701" s="229"/>
      <c r="AW701" s="5"/>
      <c r="AX701" s="5"/>
      <c r="AY701" s="5"/>
      <c r="AZ701" s="5"/>
      <c r="BA701" s="5"/>
      <c r="BB701" s="5"/>
      <c r="BC701" s="5"/>
      <c r="BD701" s="5"/>
      <c r="BE701" s="5"/>
      <c r="BF701" s="5"/>
      <c r="BG701" s="5"/>
    </row>
    <row r="702" customFormat="false" ht="1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212"/>
      <c r="V702" s="212"/>
      <c r="W702" s="212"/>
      <c r="X702" s="212"/>
      <c r="Y702" s="212"/>
      <c r="Z702" s="212"/>
      <c r="AA702" s="212"/>
      <c r="AB702" s="212"/>
      <c r="AC702" s="241" t="n">
        <v>461</v>
      </c>
      <c r="AD702" s="243" t="s">
        <v>1042</v>
      </c>
      <c r="AE702" s="229"/>
      <c r="AF702" s="229"/>
      <c r="AG702" s="229"/>
      <c r="AH702" s="238"/>
      <c r="AI702" s="240"/>
      <c r="AJ702" s="229"/>
      <c r="AK702" s="231"/>
      <c r="AL702" s="229"/>
      <c r="AM702" s="229"/>
      <c r="AN702" s="229"/>
      <c r="AO702" s="229"/>
      <c r="AP702" s="229"/>
      <c r="AQ702" s="229"/>
      <c r="AR702" s="229"/>
      <c r="AS702" s="229"/>
      <c r="AT702" s="229"/>
      <c r="AU702" s="229"/>
      <c r="AV702" s="229"/>
      <c r="AW702" s="5"/>
      <c r="AX702" s="5"/>
      <c r="AY702" s="5"/>
      <c r="AZ702" s="5"/>
      <c r="BA702" s="5"/>
      <c r="BB702" s="5"/>
      <c r="BC702" s="5"/>
      <c r="BD702" s="5"/>
      <c r="BE702" s="5"/>
      <c r="BF702" s="5"/>
      <c r="BG702" s="5"/>
    </row>
    <row r="703" customFormat="false" ht="1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212"/>
      <c r="V703" s="212"/>
      <c r="W703" s="212"/>
      <c r="X703" s="212"/>
      <c r="Y703" s="212"/>
      <c r="Z703" s="212"/>
      <c r="AA703" s="212"/>
      <c r="AB703" s="212"/>
      <c r="AC703" s="241" t="n">
        <v>462</v>
      </c>
      <c r="AD703" s="243" t="s">
        <v>1043</v>
      </c>
      <c r="AE703" s="229"/>
      <c r="AF703" s="229"/>
      <c r="AG703" s="229"/>
      <c r="AH703" s="238"/>
      <c r="AI703" s="240"/>
      <c r="AJ703" s="229"/>
      <c r="AK703" s="231"/>
      <c r="AL703" s="229"/>
      <c r="AM703" s="229"/>
      <c r="AN703" s="229"/>
      <c r="AO703" s="229"/>
      <c r="AP703" s="229"/>
      <c r="AQ703" s="229"/>
      <c r="AR703" s="229"/>
      <c r="AS703" s="229"/>
      <c r="AT703" s="229"/>
      <c r="AU703" s="229"/>
      <c r="AV703" s="229"/>
      <c r="AW703" s="5"/>
      <c r="AX703" s="5"/>
      <c r="AY703" s="5"/>
      <c r="AZ703" s="5"/>
      <c r="BA703" s="5"/>
      <c r="BB703" s="5"/>
      <c r="BC703" s="5"/>
      <c r="BD703" s="5"/>
      <c r="BE703" s="5"/>
      <c r="BF703" s="5"/>
      <c r="BG703" s="5"/>
    </row>
    <row r="704" customFormat="false" ht="1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212"/>
      <c r="V704" s="212"/>
      <c r="W704" s="212"/>
      <c r="X704" s="212"/>
      <c r="Y704" s="212"/>
      <c r="Z704" s="212"/>
      <c r="AA704" s="212"/>
      <c r="AB704" s="212"/>
      <c r="AC704" s="241" t="n">
        <v>463</v>
      </c>
      <c r="AD704" s="243" t="s">
        <v>1044</v>
      </c>
      <c r="AE704" s="229"/>
      <c r="AF704" s="229"/>
      <c r="AG704" s="229"/>
      <c r="AH704" s="238"/>
      <c r="AI704" s="240"/>
      <c r="AJ704" s="229"/>
      <c r="AK704" s="231"/>
      <c r="AL704" s="229"/>
      <c r="AM704" s="229"/>
      <c r="AN704" s="229"/>
      <c r="AO704" s="229"/>
      <c r="AP704" s="229"/>
      <c r="AQ704" s="229"/>
      <c r="AR704" s="229"/>
      <c r="AS704" s="229"/>
      <c r="AT704" s="229"/>
      <c r="AU704" s="229"/>
      <c r="AV704" s="229"/>
      <c r="AW704" s="5"/>
      <c r="AX704" s="5"/>
      <c r="AY704" s="5"/>
      <c r="AZ704" s="5"/>
      <c r="BA704" s="5"/>
      <c r="BB704" s="5"/>
      <c r="BC704" s="5"/>
      <c r="BD704" s="5"/>
      <c r="BE704" s="5"/>
      <c r="BF704" s="5"/>
      <c r="BG704" s="5"/>
    </row>
    <row r="705" customFormat="false" ht="1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212"/>
      <c r="V705" s="212"/>
      <c r="W705" s="212"/>
      <c r="X705" s="212"/>
      <c r="Y705" s="212"/>
      <c r="Z705" s="212"/>
      <c r="AA705" s="212"/>
      <c r="AB705" s="212"/>
      <c r="AC705" s="241" t="n">
        <v>464</v>
      </c>
      <c r="AD705" s="243" t="s">
        <v>1045</v>
      </c>
      <c r="AE705" s="229"/>
      <c r="AF705" s="229"/>
      <c r="AG705" s="229"/>
      <c r="AH705" s="238"/>
      <c r="AI705" s="240"/>
      <c r="AJ705" s="229"/>
      <c r="AK705" s="231"/>
      <c r="AL705" s="229"/>
      <c r="AM705" s="229"/>
      <c r="AN705" s="229"/>
      <c r="AO705" s="229"/>
      <c r="AP705" s="229"/>
      <c r="AQ705" s="229"/>
      <c r="AR705" s="229"/>
      <c r="AS705" s="229"/>
      <c r="AT705" s="229"/>
      <c r="AU705" s="229"/>
      <c r="AV705" s="229"/>
      <c r="AW705" s="5"/>
      <c r="AX705" s="5"/>
      <c r="AY705" s="5"/>
      <c r="AZ705" s="5"/>
      <c r="BA705" s="5"/>
      <c r="BB705" s="5"/>
      <c r="BC705" s="5"/>
      <c r="BD705" s="5"/>
      <c r="BE705" s="5"/>
      <c r="BF705" s="5"/>
      <c r="BG705" s="5"/>
    </row>
    <row r="706" customFormat="false" ht="1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212"/>
      <c r="V706" s="212"/>
      <c r="W706" s="212"/>
      <c r="X706" s="212"/>
      <c r="Y706" s="212"/>
      <c r="Z706" s="212"/>
      <c r="AA706" s="212"/>
      <c r="AB706" s="212"/>
      <c r="AC706" s="241" t="n">
        <v>465</v>
      </c>
      <c r="AD706" s="243" t="s">
        <v>1046</v>
      </c>
      <c r="AE706" s="229"/>
      <c r="AF706" s="229"/>
      <c r="AG706" s="229"/>
      <c r="AH706" s="238"/>
      <c r="AI706" s="240"/>
      <c r="AJ706" s="229"/>
      <c r="AK706" s="231"/>
      <c r="AL706" s="229"/>
      <c r="AM706" s="229"/>
      <c r="AN706" s="229"/>
      <c r="AO706" s="229"/>
      <c r="AP706" s="229"/>
      <c r="AQ706" s="229"/>
      <c r="AR706" s="229"/>
      <c r="AS706" s="229"/>
      <c r="AT706" s="229"/>
      <c r="AU706" s="229"/>
      <c r="AV706" s="229"/>
      <c r="AW706" s="5"/>
      <c r="AX706" s="5"/>
      <c r="AY706" s="5"/>
      <c r="AZ706" s="5"/>
      <c r="BA706" s="5"/>
      <c r="BB706" s="5"/>
      <c r="BC706" s="5"/>
      <c r="BD706" s="5"/>
      <c r="BE706" s="5"/>
      <c r="BF706" s="5"/>
      <c r="BG706" s="5"/>
    </row>
    <row r="707" customFormat="false" ht="1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212"/>
      <c r="V707" s="212"/>
      <c r="W707" s="212"/>
      <c r="X707" s="212"/>
      <c r="Y707" s="212"/>
      <c r="Z707" s="212"/>
      <c r="AA707" s="212"/>
      <c r="AB707" s="212"/>
      <c r="AC707" s="241" t="n">
        <v>466</v>
      </c>
      <c r="AD707" s="243" t="s">
        <v>1047</v>
      </c>
      <c r="AE707" s="229"/>
      <c r="AF707" s="229"/>
      <c r="AG707" s="229"/>
      <c r="AH707" s="238"/>
      <c r="AI707" s="240"/>
      <c r="AJ707" s="229"/>
      <c r="AK707" s="231"/>
      <c r="AL707" s="229"/>
      <c r="AM707" s="229"/>
      <c r="AN707" s="229"/>
      <c r="AO707" s="229"/>
      <c r="AP707" s="229"/>
      <c r="AQ707" s="229"/>
      <c r="AR707" s="229"/>
      <c r="AS707" s="229"/>
      <c r="AT707" s="229"/>
      <c r="AU707" s="229"/>
      <c r="AV707" s="229"/>
      <c r="AW707" s="5"/>
      <c r="AX707" s="5"/>
      <c r="AY707" s="5"/>
      <c r="AZ707" s="5"/>
      <c r="BA707" s="5"/>
      <c r="BB707" s="5"/>
      <c r="BC707" s="5"/>
      <c r="BD707" s="5"/>
      <c r="BE707" s="5"/>
      <c r="BF707" s="5"/>
      <c r="BG707" s="5"/>
    </row>
    <row r="708" customFormat="false" ht="1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212"/>
      <c r="V708" s="212"/>
      <c r="W708" s="212"/>
      <c r="X708" s="212"/>
      <c r="Y708" s="212"/>
      <c r="Z708" s="212"/>
      <c r="AA708" s="212"/>
      <c r="AB708" s="212"/>
      <c r="AC708" s="241" t="n">
        <v>467</v>
      </c>
      <c r="AD708" s="243" t="s">
        <v>1048</v>
      </c>
      <c r="AE708" s="229"/>
      <c r="AF708" s="229"/>
      <c r="AG708" s="229"/>
      <c r="AH708" s="238"/>
      <c r="AI708" s="240"/>
      <c r="AJ708" s="229"/>
      <c r="AK708" s="231"/>
      <c r="AL708" s="229"/>
      <c r="AM708" s="229"/>
      <c r="AN708" s="229"/>
      <c r="AO708" s="229"/>
      <c r="AP708" s="229"/>
      <c r="AQ708" s="229"/>
      <c r="AR708" s="229"/>
      <c r="AS708" s="229"/>
      <c r="AT708" s="229"/>
      <c r="AU708" s="229"/>
      <c r="AV708" s="229"/>
      <c r="AW708" s="5"/>
      <c r="AX708" s="5"/>
      <c r="AY708" s="5"/>
      <c r="AZ708" s="5"/>
      <c r="BA708" s="5"/>
      <c r="BB708" s="5"/>
      <c r="BC708" s="5"/>
      <c r="BD708" s="5"/>
      <c r="BE708" s="5"/>
      <c r="BF708" s="5"/>
      <c r="BG708" s="5"/>
    </row>
    <row r="709" customFormat="false" ht="1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212"/>
      <c r="V709" s="212"/>
      <c r="W709" s="212"/>
      <c r="X709" s="212"/>
      <c r="Y709" s="212"/>
      <c r="Z709" s="212"/>
      <c r="AA709" s="212"/>
      <c r="AB709" s="212"/>
      <c r="AC709" s="241" t="n">
        <v>468</v>
      </c>
      <c r="AD709" s="243" t="s">
        <v>1049</v>
      </c>
      <c r="AE709" s="229"/>
      <c r="AF709" s="229"/>
      <c r="AG709" s="229"/>
      <c r="AH709" s="238"/>
      <c r="AI709" s="240"/>
      <c r="AJ709" s="229"/>
      <c r="AK709" s="231"/>
      <c r="AL709" s="229"/>
      <c r="AM709" s="229"/>
      <c r="AN709" s="229"/>
      <c r="AO709" s="229"/>
      <c r="AP709" s="229"/>
      <c r="AQ709" s="229"/>
      <c r="AR709" s="229"/>
      <c r="AS709" s="229"/>
      <c r="AT709" s="229"/>
      <c r="AU709" s="229"/>
      <c r="AV709" s="229"/>
      <c r="AW709" s="5"/>
      <c r="AX709" s="5"/>
      <c r="AY709" s="5"/>
      <c r="AZ709" s="5"/>
      <c r="BA709" s="5"/>
      <c r="BB709" s="5"/>
      <c r="BC709" s="5"/>
      <c r="BD709" s="5"/>
      <c r="BE709" s="5"/>
      <c r="BF709" s="5"/>
      <c r="BG709" s="5"/>
    </row>
    <row r="710" customFormat="false" ht="1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212"/>
      <c r="V710" s="212"/>
      <c r="W710" s="212"/>
      <c r="X710" s="212"/>
      <c r="Y710" s="212"/>
      <c r="Z710" s="212"/>
      <c r="AA710" s="212"/>
      <c r="AB710" s="212"/>
      <c r="AC710" s="241" t="n">
        <v>469</v>
      </c>
      <c r="AD710" s="243" t="s">
        <v>1050</v>
      </c>
      <c r="AE710" s="229"/>
      <c r="AF710" s="229"/>
      <c r="AG710" s="229"/>
      <c r="AH710" s="238"/>
      <c r="AI710" s="240"/>
      <c r="AJ710" s="229"/>
      <c r="AK710" s="231"/>
      <c r="AL710" s="229"/>
      <c r="AM710" s="229"/>
      <c r="AN710" s="229"/>
      <c r="AO710" s="229"/>
      <c r="AP710" s="229"/>
      <c r="AQ710" s="229"/>
      <c r="AR710" s="229"/>
      <c r="AS710" s="229"/>
      <c r="AT710" s="229"/>
      <c r="AU710" s="229"/>
      <c r="AV710" s="229"/>
      <c r="AW710" s="5"/>
      <c r="AX710" s="5"/>
      <c r="AY710" s="5"/>
      <c r="AZ710" s="5"/>
      <c r="BA710" s="5"/>
      <c r="BB710" s="5"/>
      <c r="BC710" s="5"/>
      <c r="BD710" s="5"/>
      <c r="BE710" s="5"/>
      <c r="BF710" s="5"/>
      <c r="BG710" s="5"/>
    </row>
    <row r="711" customFormat="false" ht="1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212"/>
      <c r="V711" s="212"/>
      <c r="W711" s="212"/>
      <c r="X711" s="212"/>
      <c r="Y711" s="212"/>
      <c r="Z711" s="212"/>
      <c r="AA711" s="212"/>
      <c r="AB711" s="212"/>
      <c r="AC711" s="241" t="n">
        <v>470</v>
      </c>
      <c r="AD711" s="243" t="s">
        <v>1051</v>
      </c>
      <c r="AE711" s="229"/>
      <c r="AF711" s="229"/>
      <c r="AG711" s="229"/>
      <c r="AH711" s="238"/>
      <c r="AI711" s="240"/>
      <c r="AJ711" s="229"/>
      <c r="AK711" s="231"/>
      <c r="AL711" s="229"/>
      <c r="AM711" s="229"/>
      <c r="AN711" s="229"/>
      <c r="AO711" s="229"/>
      <c r="AP711" s="229"/>
      <c r="AQ711" s="229"/>
      <c r="AR711" s="229"/>
      <c r="AS711" s="229"/>
      <c r="AT711" s="229"/>
      <c r="AU711" s="229"/>
      <c r="AV711" s="229"/>
      <c r="AW711" s="5"/>
      <c r="AX711" s="5"/>
      <c r="AY711" s="5"/>
      <c r="AZ711" s="5"/>
      <c r="BA711" s="5"/>
      <c r="BB711" s="5"/>
      <c r="BC711" s="5"/>
      <c r="BD711" s="5"/>
      <c r="BE711" s="5"/>
      <c r="BF711" s="5"/>
      <c r="BG711" s="5"/>
    </row>
    <row r="712" customFormat="false" ht="1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212"/>
      <c r="V712" s="212"/>
      <c r="W712" s="212"/>
      <c r="X712" s="212"/>
      <c r="Y712" s="212"/>
      <c r="Z712" s="212"/>
      <c r="AA712" s="212"/>
      <c r="AB712" s="212"/>
      <c r="AC712" s="241" t="n">
        <v>471</v>
      </c>
      <c r="AD712" s="243" t="s">
        <v>1052</v>
      </c>
      <c r="AE712" s="229"/>
      <c r="AF712" s="229"/>
      <c r="AG712" s="229"/>
      <c r="AH712" s="238"/>
      <c r="AI712" s="240"/>
      <c r="AJ712" s="229"/>
      <c r="AK712" s="231"/>
      <c r="AL712" s="229"/>
      <c r="AM712" s="229"/>
      <c r="AN712" s="229"/>
      <c r="AO712" s="229"/>
      <c r="AP712" s="229"/>
      <c r="AQ712" s="229"/>
      <c r="AR712" s="229"/>
      <c r="AS712" s="229"/>
      <c r="AT712" s="229"/>
      <c r="AU712" s="229"/>
      <c r="AV712" s="229"/>
      <c r="AW712" s="5"/>
      <c r="AX712" s="5"/>
      <c r="AY712" s="5"/>
      <c r="AZ712" s="5"/>
      <c r="BA712" s="5"/>
      <c r="BB712" s="5"/>
      <c r="BC712" s="5"/>
      <c r="BD712" s="5"/>
      <c r="BE712" s="5"/>
      <c r="BF712" s="5"/>
      <c r="BG712" s="5"/>
    </row>
    <row r="713" customFormat="false" ht="1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212"/>
      <c r="V713" s="212"/>
      <c r="W713" s="212"/>
      <c r="X713" s="212"/>
      <c r="Y713" s="212"/>
      <c r="Z713" s="212"/>
      <c r="AA713" s="212"/>
      <c r="AB713" s="212"/>
      <c r="AC713" s="241" t="n">
        <v>472</v>
      </c>
      <c r="AD713" s="243" t="s">
        <v>1053</v>
      </c>
      <c r="AE713" s="229"/>
      <c r="AF713" s="229"/>
      <c r="AG713" s="229"/>
      <c r="AH713" s="238"/>
      <c r="AI713" s="240"/>
      <c r="AJ713" s="229"/>
      <c r="AK713" s="231"/>
      <c r="AL713" s="229"/>
      <c r="AM713" s="229"/>
      <c r="AN713" s="229"/>
      <c r="AO713" s="229"/>
      <c r="AP713" s="229"/>
      <c r="AQ713" s="229"/>
      <c r="AR713" s="229"/>
      <c r="AS713" s="229"/>
      <c r="AT713" s="229"/>
      <c r="AU713" s="229"/>
      <c r="AV713" s="229"/>
      <c r="AW713" s="5"/>
      <c r="AX713" s="5"/>
      <c r="AY713" s="5"/>
      <c r="AZ713" s="5"/>
      <c r="BA713" s="5"/>
      <c r="BB713" s="5"/>
      <c r="BC713" s="5"/>
      <c r="BD713" s="5"/>
      <c r="BE713" s="5"/>
      <c r="BF713" s="5"/>
      <c r="BG713" s="5"/>
    </row>
    <row r="714" customFormat="false" ht="1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212"/>
      <c r="V714" s="212"/>
      <c r="W714" s="212"/>
      <c r="X714" s="212"/>
      <c r="Y714" s="212"/>
      <c r="Z714" s="212"/>
      <c r="AA714" s="212"/>
      <c r="AB714" s="212"/>
      <c r="AC714" s="241" t="n">
        <v>473</v>
      </c>
      <c r="AD714" s="243" t="s">
        <v>1054</v>
      </c>
      <c r="AE714" s="229"/>
      <c r="AF714" s="229"/>
      <c r="AG714" s="229"/>
      <c r="AH714" s="238"/>
      <c r="AI714" s="240"/>
      <c r="AJ714" s="229"/>
      <c r="AK714" s="231"/>
      <c r="AL714" s="229"/>
      <c r="AM714" s="229"/>
      <c r="AN714" s="229"/>
      <c r="AO714" s="229"/>
      <c r="AP714" s="229"/>
      <c r="AQ714" s="229"/>
      <c r="AR714" s="229"/>
      <c r="AS714" s="229"/>
      <c r="AT714" s="229"/>
      <c r="AU714" s="229"/>
      <c r="AV714" s="229"/>
      <c r="AW714" s="5"/>
      <c r="AX714" s="5"/>
      <c r="AY714" s="5"/>
      <c r="AZ714" s="5"/>
      <c r="BA714" s="5"/>
      <c r="BB714" s="5"/>
      <c r="BC714" s="5"/>
      <c r="BD714" s="5"/>
      <c r="BE714" s="5"/>
      <c r="BF714" s="5"/>
      <c r="BG714" s="5"/>
    </row>
    <row r="715" customFormat="false" ht="1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212"/>
      <c r="V715" s="212"/>
      <c r="W715" s="212"/>
      <c r="X715" s="212"/>
      <c r="Y715" s="212"/>
      <c r="Z715" s="212"/>
      <c r="AA715" s="212"/>
      <c r="AB715" s="212"/>
      <c r="AC715" s="241" t="n">
        <v>474</v>
      </c>
      <c r="AD715" s="243" t="s">
        <v>1055</v>
      </c>
      <c r="AE715" s="229"/>
      <c r="AF715" s="229"/>
      <c r="AG715" s="229"/>
      <c r="AH715" s="238"/>
      <c r="AI715" s="240"/>
      <c r="AJ715" s="229"/>
      <c r="AK715" s="231"/>
      <c r="AL715" s="229"/>
      <c r="AM715" s="229"/>
      <c r="AN715" s="229"/>
      <c r="AO715" s="229"/>
      <c r="AP715" s="229"/>
      <c r="AQ715" s="229"/>
      <c r="AR715" s="229"/>
      <c r="AS715" s="229"/>
      <c r="AT715" s="229"/>
      <c r="AU715" s="229"/>
      <c r="AV715" s="229"/>
      <c r="AW715" s="5"/>
      <c r="AX715" s="5"/>
      <c r="AY715" s="5"/>
      <c r="AZ715" s="5"/>
      <c r="BA715" s="5"/>
      <c r="BB715" s="5"/>
      <c r="BC715" s="5"/>
      <c r="BD715" s="5"/>
      <c r="BE715" s="5"/>
      <c r="BF715" s="5"/>
      <c r="BG715" s="5"/>
    </row>
    <row r="716" customFormat="false" ht="1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212"/>
      <c r="V716" s="212"/>
      <c r="W716" s="212"/>
      <c r="X716" s="212"/>
      <c r="Y716" s="212"/>
      <c r="Z716" s="212"/>
      <c r="AA716" s="212"/>
      <c r="AB716" s="212"/>
      <c r="AC716" s="241" t="n">
        <v>475</v>
      </c>
      <c r="AD716" s="243" t="s">
        <v>1056</v>
      </c>
      <c r="AE716" s="229"/>
      <c r="AF716" s="229"/>
      <c r="AG716" s="229"/>
      <c r="AH716" s="238"/>
      <c r="AI716" s="240"/>
      <c r="AJ716" s="229"/>
      <c r="AK716" s="231"/>
      <c r="AL716" s="229"/>
      <c r="AM716" s="229"/>
      <c r="AN716" s="229"/>
      <c r="AO716" s="229"/>
      <c r="AP716" s="229"/>
      <c r="AQ716" s="229"/>
      <c r="AR716" s="229"/>
      <c r="AS716" s="229"/>
      <c r="AT716" s="229"/>
      <c r="AU716" s="229"/>
      <c r="AV716" s="229"/>
      <c r="AW716" s="5"/>
      <c r="AX716" s="5"/>
      <c r="AY716" s="5"/>
      <c r="AZ716" s="5"/>
      <c r="BA716" s="5"/>
      <c r="BB716" s="5"/>
      <c r="BC716" s="5"/>
      <c r="BD716" s="5"/>
      <c r="BE716" s="5"/>
      <c r="BF716" s="5"/>
      <c r="BG716" s="5"/>
    </row>
    <row r="717" customFormat="false" ht="1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212"/>
      <c r="V717" s="212"/>
      <c r="W717" s="212"/>
      <c r="X717" s="212"/>
      <c r="Y717" s="212"/>
      <c r="Z717" s="212"/>
      <c r="AA717" s="212"/>
      <c r="AB717" s="212"/>
      <c r="AC717" s="241" t="n">
        <v>476</v>
      </c>
      <c r="AD717" s="243" t="s">
        <v>1057</v>
      </c>
      <c r="AE717" s="229"/>
      <c r="AF717" s="229"/>
      <c r="AG717" s="229"/>
      <c r="AH717" s="238"/>
      <c r="AI717" s="240"/>
      <c r="AJ717" s="229"/>
      <c r="AK717" s="231"/>
      <c r="AL717" s="229"/>
      <c r="AM717" s="229"/>
      <c r="AN717" s="229"/>
      <c r="AO717" s="229"/>
      <c r="AP717" s="229"/>
      <c r="AQ717" s="229"/>
      <c r="AR717" s="229"/>
      <c r="AS717" s="229"/>
      <c r="AT717" s="229"/>
      <c r="AU717" s="229"/>
      <c r="AV717" s="229"/>
      <c r="AW717" s="5"/>
      <c r="AX717" s="5"/>
      <c r="AY717" s="5"/>
      <c r="AZ717" s="5"/>
      <c r="BA717" s="5"/>
      <c r="BB717" s="5"/>
      <c r="BC717" s="5"/>
      <c r="BD717" s="5"/>
      <c r="BE717" s="5"/>
      <c r="BF717" s="5"/>
      <c r="BG717" s="5"/>
    </row>
    <row r="718" customFormat="false" ht="1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212"/>
      <c r="V718" s="212"/>
      <c r="W718" s="212"/>
      <c r="X718" s="212"/>
      <c r="Y718" s="212"/>
      <c r="Z718" s="212"/>
      <c r="AA718" s="212"/>
      <c r="AB718" s="212"/>
      <c r="AC718" s="241" t="n">
        <v>477</v>
      </c>
      <c r="AD718" s="243" t="s">
        <v>1058</v>
      </c>
      <c r="AE718" s="229"/>
      <c r="AF718" s="229"/>
      <c r="AG718" s="229"/>
      <c r="AH718" s="238"/>
      <c r="AI718" s="240"/>
      <c r="AJ718" s="229"/>
      <c r="AK718" s="231"/>
      <c r="AL718" s="229"/>
      <c r="AM718" s="229"/>
      <c r="AN718" s="229"/>
      <c r="AO718" s="229"/>
      <c r="AP718" s="229"/>
      <c r="AQ718" s="229"/>
      <c r="AR718" s="229"/>
      <c r="AS718" s="229"/>
      <c r="AT718" s="229"/>
      <c r="AU718" s="229"/>
      <c r="AV718" s="229"/>
      <c r="AW718" s="5"/>
      <c r="AX718" s="5"/>
      <c r="AY718" s="5"/>
      <c r="AZ718" s="5"/>
      <c r="BA718" s="5"/>
      <c r="BB718" s="5"/>
      <c r="BC718" s="5"/>
      <c r="BD718" s="5"/>
      <c r="BE718" s="5"/>
      <c r="BF718" s="5"/>
      <c r="BG718" s="5"/>
    </row>
    <row r="719" customFormat="false" ht="1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212"/>
      <c r="V719" s="212"/>
      <c r="W719" s="212"/>
      <c r="X719" s="212"/>
      <c r="Y719" s="212"/>
      <c r="Z719" s="212"/>
      <c r="AA719" s="212"/>
      <c r="AB719" s="212"/>
      <c r="AC719" s="241" t="n">
        <v>478</v>
      </c>
      <c r="AD719" s="243" t="s">
        <v>1059</v>
      </c>
      <c r="AE719" s="229"/>
      <c r="AF719" s="229"/>
      <c r="AG719" s="229"/>
      <c r="AH719" s="238"/>
      <c r="AI719" s="240"/>
      <c r="AJ719" s="229"/>
      <c r="AK719" s="231"/>
      <c r="AL719" s="229"/>
      <c r="AM719" s="229"/>
      <c r="AN719" s="229"/>
      <c r="AO719" s="229"/>
      <c r="AP719" s="229"/>
      <c r="AQ719" s="229"/>
      <c r="AR719" s="229"/>
      <c r="AS719" s="229"/>
      <c r="AT719" s="229"/>
      <c r="AU719" s="229"/>
      <c r="AV719" s="229"/>
      <c r="AW719" s="5"/>
      <c r="AX719" s="5"/>
      <c r="AY719" s="5"/>
      <c r="AZ719" s="5"/>
      <c r="BA719" s="5"/>
      <c r="BB719" s="5"/>
      <c r="BC719" s="5"/>
      <c r="BD719" s="5"/>
      <c r="BE719" s="5"/>
      <c r="BF719" s="5"/>
      <c r="BG719" s="5"/>
    </row>
    <row r="720" customFormat="false" ht="1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212"/>
      <c r="V720" s="212"/>
      <c r="W720" s="212"/>
      <c r="X720" s="212"/>
      <c r="Y720" s="212"/>
      <c r="Z720" s="212"/>
      <c r="AA720" s="212"/>
      <c r="AB720" s="212"/>
      <c r="AC720" s="241" t="n">
        <v>479</v>
      </c>
      <c r="AD720" s="243" t="s">
        <v>1060</v>
      </c>
      <c r="AE720" s="229"/>
      <c r="AF720" s="229"/>
      <c r="AG720" s="229"/>
      <c r="AH720" s="238"/>
      <c r="AI720" s="240"/>
      <c r="AJ720" s="229"/>
      <c r="AK720" s="231"/>
      <c r="AL720" s="229"/>
      <c r="AM720" s="229"/>
      <c r="AN720" s="229"/>
      <c r="AO720" s="229"/>
      <c r="AP720" s="229"/>
      <c r="AQ720" s="229"/>
      <c r="AR720" s="229"/>
      <c r="AS720" s="229"/>
      <c r="AT720" s="229"/>
      <c r="AU720" s="229"/>
      <c r="AV720" s="229"/>
      <c r="AW720" s="5"/>
      <c r="AX720" s="5"/>
      <c r="AY720" s="5"/>
      <c r="AZ720" s="5"/>
      <c r="BA720" s="5"/>
      <c r="BB720" s="5"/>
      <c r="BC720" s="5"/>
      <c r="BD720" s="5"/>
      <c r="BE720" s="5"/>
      <c r="BF720" s="5"/>
      <c r="BG720" s="5"/>
    </row>
    <row r="721" customFormat="false" ht="1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212"/>
      <c r="V721" s="212"/>
      <c r="W721" s="212"/>
      <c r="X721" s="212"/>
      <c r="Y721" s="212"/>
      <c r="Z721" s="212"/>
      <c r="AA721" s="212"/>
      <c r="AB721" s="212"/>
      <c r="AC721" s="241" t="n">
        <v>480</v>
      </c>
      <c r="AD721" s="243" t="s">
        <v>1061</v>
      </c>
      <c r="AE721" s="229"/>
      <c r="AF721" s="229"/>
      <c r="AG721" s="229"/>
      <c r="AH721" s="238"/>
      <c r="AI721" s="240"/>
      <c r="AJ721" s="229"/>
      <c r="AK721" s="231"/>
      <c r="AL721" s="229"/>
      <c r="AM721" s="229"/>
      <c r="AN721" s="229"/>
      <c r="AO721" s="229"/>
      <c r="AP721" s="229"/>
      <c r="AQ721" s="229"/>
      <c r="AR721" s="229"/>
      <c r="AS721" s="229"/>
      <c r="AT721" s="229"/>
      <c r="AU721" s="229"/>
      <c r="AV721" s="229"/>
      <c r="AW721" s="5"/>
      <c r="AX721" s="5"/>
      <c r="AY721" s="5"/>
      <c r="AZ721" s="5"/>
      <c r="BA721" s="5"/>
      <c r="BB721" s="5"/>
      <c r="BC721" s="5"/>
      <c r="BD721" s="5"/>
      <c r="BE721" s="5"/>
      <c r="BF721" s="5"/>
      <c r="BG721" s="5"/>
    </row>
    <row r="722" customFormat="false" ht="1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212"/>
      <c r="V722" s="212"/>
      <c r="W722" s="212"/>
      <c r="X722" s="212"/>
      <c r="Y722" s="212"/>
      <c r="Z722" s="212"/>
      <c r="AA722" s="212"/>
      <c r="AB722" s="212"/>
      <c r="AC722" s="241" t="n">
        <v>481</v>
      </c>
      <c r="AD722" s="243" t="s">
        <v>1062</v>
      </c>
      <c r="AE722" s="229"/>
      <c r="AF722" s="229"/>
      <c r="AG722" s="229"/>
      <c r="AH722" s="238"/>
      <c r="AI722" s="240"/>
      <c r="AJ722" s="229"/>
      <c r="AK722" s="231"/>
      <c r="AL722" s="229"/>
      <c r="AM722" s="229"/>
      <c r="AN722" s="229"/>
      <c r="AO722" s="229"/>
      <c r="AP722" s="229"/>
      <c r="AQ722" s="229"/>
      <c r="AR722" s="229"/>
      <c r="AS722" s="229"/>
      <c r="AT722" s="229"/>
      <c r="AU722" s="229"/>
      <c r="AV722" s="229"/>
      <c r="AW722" s="5"/>
      <c r="AX722" s="5"/>
      <c r="AY722" s="5"/>
      <c r="AZ722" s="5"/>
      <c r="BA722" s="5"/>
      <c r="BB722" s="5"/>
      <c r="BC722" s="5"/>
      <c r="BD722" s="5"/>
      <c r="BE722" s="5"/>
      <c r="BF722" s="5"/>
      <c r="BG722" s="5"/>
    </row>
    <row r="723" customFormat="false" ht="1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212"/>
      <c r="V723" s="212"/>
      <c r="W723" s="212"/>
      <c r="X723" s="212"/>
      <c r="Y723" s="212"/>
      <c r="Z723" s="212"/>
      <c r="AA723" s="212"/>
      <c r="AB723" s="212"/>
      <c r="AC723" s="241" t="n">
        <v>482</v>
      </c>
      <c r="AD723" s="243" t="s">
        <v>1063</v>
      </c>
      <c r="AE723" s="229"/>
      <c r="AF723" s="229"/>
      <c r="AG723" s="229"/>
      <c r="AH723" s="238"/>
      <c r="AI723" s="240"/>
      <c r="AJ723" s="229"/>
      <c r="AK723" s="231"/>
      <c r="AL723" s="229"/>
      <c r="AM723" s="229"/>
      <c r="AN723" s="229"/>
      <c r="AO723" s="229"/>
      <c r="AP723" s="229"/>
      <c r="AQ723" s="229"/>
      <c r="AR723" s="229"/>
      <c r="AS723" s="229"/>
      <c r="AT723" s="229"/>
      <c r="AU723" s="229"/>
      <c r="AV723" s="229"/>
      <c r="AW723" s="5"/>
      <c r="AX723" s="5"/>
      <c r="AY723" s="5"/>
      <c r="AZ723" s="5"/>
      <c r="BA723" s="5"/>
      <c r="BB723" s="5"/>
      <c r="BC723" s="5"/>
      <c r="BD723" s="5"/>
      <c r="BE723" s="5"/>
      <c r="BF723" s="5"/>
      <c r="BG723" s="5"/>
    </row>
    <row r="724" customFormat="false" ht="1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212"/>
      <c r="V724" s="212"/>
      <c r="W724" s="212"/>
      <c r="X724" s="212"/>
      <c r="Y724" s="212"/>
      <c r="Z724" s="212"/>
      <c r="AA724" s="212"/>
      <c r="AB724" s="212"/>
      <c r="AC724" s="241" t="n">
        <v>483</v>
      </c>
      <c r="AD724" s="243" t="s">
        <v>1064</v>
      </c>
      <c r="AE724" s="229"/>
      <c r="AF724" s="229"/>
      <c r="AG724" s="229"/>
      <c r="AH724" s="238"/>
      <c r="AI724" s="240"/>
      <c r="AJ724" s="229"/>
      <c r="AK724" s="231"/>
      <c r="AL724" s="229"/>
      <c r="AM724" s="229"/>
      <c r="AN724" s="229"/>
      <c r="AO724" s="229"/>
      <c r="AP724" s="229"/>
      <c r="AQ724" s="229"/>
      <c r="AR724" s="229"/>
      <c r="AS724" s="229"/>
      <c r="AT724" s="229"/>
      <c r="AU724" s="229"/>
      <c r="AV724" s="229"/>
      <c r="AW724" s="5"/>
      <c r="AX724" s="5"/>
      <c r="AY724" s="5"/>
      <c r="AZ724" s="5"/>
      <c r="BA724" s="5"/>
      <c r="BB724" s="5"/>
      <c r="BC724" s="5"/>
      <c r="BD724" s="5"/>
      <c r="BE724" s="5"/>
      <c r="BF724" s="5"/>
      <c r="BG724" s="5"/>
    </row>
    <row r="725" customFormat="false" ht="1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212"/>
      <c r="V725" s="212"/>
      <c r="W725" s="212"/>
      <c r="X725" s="212"/>
      <c r="Y725" s="212"/>
      <c r="Z725" s="212"/>
      <c r="AA725" s="212"/>
      <c r="AB725" s="212"/>
      <c r="AC725" s="241" t="n">
        <v>484</v>
      </c>
      <c r="AD725" s="243" t="s">
        <v>1065</v>
      </c>
      <c r="AE725" s="229"/>
      <c r="AF725" s="229"/>
      <c r="AG725" s="229"/>
      <c r="AH725" s="238"/>
      <c r="AI725" s="240"/>
      <c r="AJ725" s="229"/>
      <c r="AK725" s="231"/>
      <c r="AL725" s="229"/>
      <c r="AM725" s="229"/>
      <c r="AN725" s="229"/>
      <c r="AO725" s="229"/>
      <c r="AP725" s="229"/>
      <c r="AQ725" s="229"/>
      <c r="AR725" s="229"/>
      <c r="AS725" s="229"/>
      <c r="AT725" s="229"/>
      <c r="AU725" s="229"/>
      <c r="AV725" s="229"/>
      <c r="AW725" s="5"/>
      <c r="AX725" s="5"/>
      <c r="AY725" s="5"/>
      <c r="AZ725" s="5"/>
      <c r="BA725" s="5"/>
      <c r="BB725" s="5"/>
      <c r="BC725" s="5"/>
      <c r="BD725" s="5"/>
      <c r="BE725" s="5"/>
      <c r="BF725" s="5"/>
      <c r="BG725" s="5"/>
    </row>
    <row r="726" customFormat="false" ht="1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212"/>
      <c r="V726" s="212"/>
      <c r="W726" s="212"/>
      <c r="X726" s="212"/>
      <c r="Y726" s="212"/>
      <c r="Z726" s="212"/>
      <c r="AA726" s="212"/>
      <c r="AB726" s="212"/>
      <c r="AC726" s="241" t="n">
        <v>485</v>
      </c>
      <c r="AD726" s="243" t="s">
        <v>1066</v>
      </c>
      <c r="AE726" s="229"/>
      <c r="AF726" s="229"/>
      <c r="AG726" s="229"/>
      <c r="AH726" s="238"/>
      <c r="AI726" s="240"/>
      <c r="AJ726" s="229"/>
      <c r="AK726" s="231"/>
      <c r="AL726" s="229"/>
      <c r="AM726" s="229"/>
      <c r="AN726" s="229"/>
      <c r="AO726" s="229"/>
      <c r="AP726" s="229"/>
      <c r="AQ726" s="229"/>
      <c r="AR726" s="229"/>
      <c r="AS726" s="229"/>
      <c r="AT726" s="229"/>
      <c r="AU726" s="229"/>
      <c r="AV726" s="229"/>
      <c r="AW726" s="5"/>
      <c r="AX726" s="5"/>
      <c r="AY726" s="5"/>
      <c r="AZ726" s="5"/>
      <c r="BA726" s="5"/>
      <c r="BB726" s="5"/>
      <c r="BC726" s="5"/>
      <c r="BD726" s="5"/>
      <c r="BE726" s="5"/>
      <c r="BF726" s="5"/>
      <c r="BG726" s="5"/>
    </row>
    <row r="727" customFormat="false" ht="1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212"/>
      <c r="V727" s="212"/>
      <c r="W727" s="212"/>
      <c r="X727" s="212"/>
      <c r="Y727" s="212"/>
      <c r="Z727" s="212"/>
      <c r="AA727" s="212"/>
      <c r="AB727" s="212"/>
      <c r="AC727" s="241" t="n">
        <v>486</v>
      </c>
      <c r="AD727" s="243" t="s">
        <v>1067</v>
      </c>
      <c r="AE727" s="229"/>
      <c r="AF727" s="229"/>
      <c r="AG727" s="229"/>
      <c r="AH727" s="238"/>
      <c r="AI727" s="240"/>
      <c r="AJ727" s="229"/>
      <c r="AK727" s="231"/>
      <c r="AL727" s="229"/>
      <c r="AM727" s="229"/>
      <c r="AN727" s="229"/>
      <c r="AO727" s="229"/>
      <c r="AP727" s="229"/>
      <c r="AQ727" s="229"/>
      <c r="AR727" s="229"/>
      <c r="AS727" s="229"/>
      <c r="AT727" s="229"/>
      <c r="AU727" s="229"/>
      <c r="AV727" s="229"/>
      <c r="AW727" s="5"/>
      <c r="AX727" s="5"/>
      <c r="AY727" s="5"/>
      <c r="AZ727" s="5"/>
      <c r="BA727" s="5"/>
      <c r="BB727" s="5"/>
      <c r="BC727" s="5"/>
      <c r="BD727" s="5"/>
      <c r="BE727" s="5"/>
      <c r="BF727" s="5"/>
      <c r="BG727" s="5"/>
    </row>
    <row r="728" customFormat="false" ht="1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212"/>
      <c r="V728" s="212"/>
      <c r="W728" s="212"/>
      <c r="X728" s="212"/>
      <c r="Y728" s="212"/>
      <c r="Z728" s="212"/>
      <c r="AA728" s="212"/>
      <c r="AB728" s="212"/>
      <c r="AC728" s="241" t="n">
        <v>487</v>
      </c>
      <c r="AD728" s="243" t="s">
        <v>1068</v>
      </c>
      <c r="AE728" s="229"/>
      <c r="AF728" s="229"/>
      <c r="AG728" s="229"/>
      <c r="AH728" s="238"/>
      <c r="AI728" s="240"/>
      <c r="AJ728" s="229"/>
      <c r="AK728" s="231"/>
      <c r="AL728" s="229"/>
      <c r="AM728" s="229"/>
      <c r="AN728" s="229"/>
      <c r="AO728" s="229"/>
      <c r="AP728" s="229"/>
      <c r="AQ728" s="229"/>
      <c r="AR728" s="229"/>
      <c r="AS728" s="229"/>
      <c r="AT728" s="229"/>
      <c r="AU728" s="229"/>
      <c r="AV728" s="229"/>
      <c r="AW728" s="5"/>
      <c r="AX728" s="5"/>
      <c r="AY728" s="5"/>
      <c r="AZ728" s="5"/>
      <c r="BA728" s="5"/>
      <c r="BB728" s="5"/>
      <c r="BC728" s="5"/>
      <c r="BD728" s="5"/>
      <c r="BE728" s="5"/>
      <c r="BF728" s="5"/>
      <c r="BG728" s="5"/>
    </row>
    <row r="729" customFormat="false" ht="1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212"/>
      <c r="V729" s="212"/>
      <c r="W729" s="212"/>
      <c r="X729" s="212"/>
      <c r="Y729" s="212"/>
      <c r="Z729" s="212"/>
      <c r="AA729" s="212"/>
      <c r="AB729" s="212"/>
      <c r="AC729" s="241" t="n">
        <v>488</v>
      </c>
      <c r="AD729" s="243" t="s">
        <v>1069</v>
      </c>
      <c r="AE729" s="229"/>
      <c r="AF729" s="229"/>
      <c r="AG729" s="229"/>
      <c r="AH729" s="238"/>
      <c r="AI729" s="240"/>
      <c r="AJ729" s="229"/>
      <c r="AK729" s="231"/>
      <c r="AL729" s="229"/>
      <c r="AM729" s="229"/>
      <c r="AN729" s="229"/>
      <c r="AO729" s="229"/>
      <c r="AP729" s="229"/>
      <c r="AQ729" s="229"/>
      <c r="AR729" s="229"/>
      <c r="AS729" s="229"/>
      <c r="AT729" s="229"/>
      <c r="AU729" s="229"/>
      <c r="AV729" s="229"/>
      <c r="AW729" s="5"/>
      <c r="AX729" s="5"/>
      <c r="AY729" s="5"/>
      <c r="AZ729" s="5"/>
      <c r="BA729" s="5"/>
      <c r="BB729" s="5"/>
      <c r="BC729" s="5"/>
      <c r="BD729" s="5"/>
      <c r="BE729" s="5"/>
      <c r="BF729" s="5"/>
      <c r="BG729" s="5"/>
    </row>
    <row r="730" customFormat="false" ht="1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212"/>
      <c r="V730" s="212"/>
      <c r="W730" s="212"/>
      <c r="X730" s="212"/>
      <c r="Y730" s="212"/>
      <c r="Z730" s="212"/>
      <c r="AA730" s="212"/>
      <c r="AB730" s="212"/>
      <c r="AC730" s="241" t="n">
        <v>489</v>
      </c>
      <c r="AD730" s="243" t="s">
        <v>1070</v>
      </c>
      <c r="AE730" s="229"/>
      <c r="AF730" s="229"/>
      <c r="AG730" s="229"/>
      <c r="AH730" s="238"/>
      <c r="AI730" s="240"/>
      <c r="AJ730" s="229"/>
      <c r="AK730" s="231"/>
      <c r="AL730" s="229"/>
      <c r="AM730" s="229"/>
      <c r="AN730" s="229"/>
      <c r="AO730" s="229"/>
      <c r="AP730" s="229"/>
      <c r="AQ730" s="229"/>
      <c r="AR730" s="229"/>
      <c r="AS730" s="229"/>
      <c r="AT730" s="229"/>
      <c r="AU730" s="229"/>
      <c r="AV730" s="229"/>
      <c r="AW730" s="5"/>
      <c r="AX730" s="5"/>
      <c r="AY730" s="5"/>
      <c r="AZ730" s="5"/>
      <c r="BA730" s="5"/>
      <c r="BB730" s="5"/>
      <c r="BC730" s="5"/>
      <c r="BD730" s="5"/>
      <c r="BE730" s="5"/>
      <c r="BF730" s="5"/>
      <c r="BG730" s="5"/>
    </row>
    <row r="731" customFormat="false" ht="1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212"/>
      <c r="V731" s="212"/>
      <c r="W731" s="212"/>
      <c r="X731" s="212"/>
      <c r="Y731" s="212"/>
      <c r="Z731" s="212"/>
      <c r="AA731" s="212"/>
      <c r="AB731" s="212"/>
      <c r="AC731" s="241" t="n">
        <v>490</v>
      </c>
      <c r="AD731" s="243" t="s">
        <v>1071</v>
      </c>
      <c r="AE731" s="229"/>
      <c r="AF731" s="229"/>
      <c r="AG731" s="229"/>
      <c r="AH731" s="238"/>
      <c r="AI731" s="240"/>
      <c r="AJ731" s="229"/>
      <c r="AK731" s="231"/>
      <c r="AL731" s="229"/>
      <c r="AM731" s="229"/>
      <c r="AN731" s="229"/>
      <c r="AO731" s="229"/>
      <c r="AP731" s="229"/>
      <c r="AQ731" s="229"/>
      <c r="AR731" s="229"/>
      <c r="AS731" s="229"/>
      <c r="AT731" s="229"/>
      <c r="AU731" s="229"/>
      <c r="AV731" s="229"/>
      <c r="AW731" s="5"/>
      <c r="AX731" s="5"/>
      <c r="AY731" s="5"/>
      <c r="AZ731" s="5"/>
      <c r="BA731" s="5"/>
      <c r="BB731" s="5"/>
      <c r="BC731" s="5"/>
      <c r="BD731" s="5"/>
      <c r="BE731" s="5"/>
      <c r="BF731" s="5"/>
      <c r="BG731" s="5"/>
    </row>
    <row r="732" customFormat="false" ht="1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212"/>
      <c r="V732" s="212"/>
      <c r="W732" s="212"/>
      <c r="X732" s="212"/>
      <c r="Y732" s="212"/>
      <c r="Z732" s="212"/>
      <c r="AA732" s="212"/>
      <c r="AB732" s="212"/>
      <c r="AC732" s="241" t="n">
        <v>491</v>
      </c>
      <c r="AD732" s="243" t="s">
        <v>1072</v>
      </c>
      <c r="AE732" s="229"/>
      <c r="AF732" s="229"/>
      <c r="AG732" s="229"/>
      <c r="AH732" s="238"/>
      <c r="AI732" s="240"/>
      <c r="AJ732" s="229"/>
      <c r="AK732" s="231"/>
      <c r="AL732" s="229"/>
      <c r="AM732" s="229"/>
      <c r="AN732" s="229"/>
      <c r="AO732" s="229"/>
      <c r="AP732" s="229"/>
      <c r="AQ732" s="229"/>
      <c r="AR732" s="229"/>
      <c r="AS732" s="229"/>
      <c r="AT732" s="229"/>
      <c r="AU732" s="229"/>
      <c r="AV732" s="229"/>
      <c r="AW732" s="5"/>
      <c r="AX732" s="5"/>
      <c r="AY732" s="5"/>
      <c r="AZ732" s="5"/>
      <c r="BA732" s="5"/>
      <c r="BB732" s="5"/>
      <c r="BC732" s="5"/>
      <c r="BD732" s="5"/>
      <c r="BE732" s="5"/>
      <c r="BF732" s="5"/>
      <c r="BG732" s="5"/>
    </row>
    <row r="733" customFormat="false" ht="1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212"/>
      <c r="V733" s="212"/>
      <c r="W733" s="212"/>
      <c r="X733" s="212"/>
      <c r="Y733" s="212"/>
      <c r="Z733" s="212"/>
      <c r="AA733" s="212"/>
      <c r="AB733" s="212"/>
      <c r="AC733" s="241" t="n">
        <v>492</v>
      </c>
      <c r="AD733" s="243" t="s">
        <v>1073</v>
      </c>
      <c r="AE733" s="229"/>
      <c r="AF733" s="229"/>
      <c r="AG733" s="229"/>
      <c r="AH733" s="238"/>
      <c r="AI733" s="240"/>
      <c r="AJ733" s="229"/>
      <c r="AK733" s="231"/>
      <c r="AL733" s="229"/>
      <c r="AM733" s="229"/>
      <c r="AN733" s="229"/>
      <c r="AO733" s="229"/>
      <c r="AP733" s="229"/>
      <c r="AQ733" s="229"/>
      <c r="AR733" s="229"/>
      <c r="AS733" s="229"/>
      <c r="AT733" s="229"/>
      <c r="AU733" s="229"/>
      <c r="AV733" s="229"/>
      <c r="AW733" s="5"/>
      <c r="AX733" s="5"/>
      <c r="AY733" s="5"/>
      <c r="AZ733" s="5"/>
      <c r="BA733" s="5"/>
      <c r="BB733" s="5"/>
      <c r="BC733" s="5"/>
      <c r="BD733" s="5"/>
      <c r="BE733" s="5"/>
      <c r="BF733" s="5"/>
      <c r="BG733" s="5"/>
    </row>
    <row r="734" customFormat="false" ht="1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212"/>
      <c r="V734" s="212"/>
      <c r="W734" s="212"/>
      <c r="X734" s="212"/>
      <c r="Y734" s="212"/>
      <c r="Z734" s="212"/>
      <c r="AA734" s="212"/>
      <c r="AB734" s="212"/>
      <c r="AC734" s="241" t="n">
        <v>493</v>
      </c>
      <c r="AD734" s="243" t="s">
        <v>1074</v>
      </c>
      <c r="AE734" s="229"/>
      <c r="AF734" s="229"/>
      <c r="AG734" s="229"/>
      <c r="AH734" s="238"/>
      <c r="AI734" s="240"/>
      <c r="AJ734" s="229"/>
      <c r="AK734" s="231"/>
      <c r="AL734" s="229"/>
      <c r="AM734" s="229"/>
      <c r="AN734" s="229"/>
      <c r="AO734" s="229"/>
      <c r="AP734" s="229"/>
      <c r="AQ734" s="229"/>
      <c r="AR734" s="229"/>
      <c r="AS734" s="229"/>
      <c r="AT734" s="229"/>
      <c r="AU734" s="229"/>
      <c r="AV734" s="229"/>
      <c r="AW734" s="5"/>
      <c r="AX734" s="5"/>
      <c r="AY734" s="5"/>
      <c r="AZ734" s="5"/>
      <c r="BA734" s="5"/>
      <c r="BB734" s="5"/>
      <c r="BC734" s="5"/>
      <c r="BD734" s="5"/>
      <c r="BE734" s="5"/>
      <c r="BF734" s="5"/>
      <c r="BG734" s="5"/>
    </row>
    <row r="735" customFormat="false" ht="1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212"/>
      <c r="V735" s="212"/>
      <c r="W735" s="212"/>
      <c r="X735" s="212"/>
      <c r="Y735" s="212"/>
      <c r="Z735" s="212"/>
      <c r="AA735" s="212"/>
      <c r="AB735" s="212"/>
      <c r="AC735" s="241" t="n">
        <v>494</v>
      </c>
      <c r="AD735" s="243" t="s">
        <v>1075</v>
      </c>
      <c r="AE735" s="229"/>
      <c r="AF735" s="229"/>
      <c r="AG735" s="229"/>
      <c r="AH735" s="238"/>
      <c r="AI735" s="240"/>
      <c r="AJ735" s="229"/>
      <c r="AK735" s="231"/>
      <c r="AL735" s="229"/>
      <c r="AM735" s="229"/>
      <c r="AN735" s="229"/>
      <c r="AO735" s="229"/>
      <c r="AP735" s="229"/>
      <c r="AQ735" s="229"/>
      <c r="AR735" s="229"/>
      <c r="AS735" s="229"/>
      <c r="AT735" s="229"/>
      <c r="AU735" s="229"/>
      <c r="AV735" s="229"/>
      <c r="AW735" s="5"/>
      <c r="AX735" s="5"/>
      <c r="AY735" s="5"/>
      <c r="AZ735" s="5"/>
      <c r="BA735" s="5"/>
      <c r="BB735" s="5"/>
      <c r="BC735" s="5"/>
      <c r="BD735" s="5"/>
      <c r="BE735" s="5"/>
      <c r="BF735" s="5"/>
      <c r="BG735" s="5"/>
    </row>
    <row r="736" customFormat="false" ht="1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212"/>
      <c r="V736" s="212"/>
      <c r="W736" s="212"/>
      <c r="X736" s="212"/>
      <c r="Y736" s="212"/>
      <c r="Z736" s="212"/>
      <c r="AA736" s="212"/>
      <c r="AB736" s="212"/>
      <c r="AC736" s="241" t="n">
        <v>495</v>
      </c>
      <c r="AD736" s="243" t="s">
        <v>1076</v>
      </c>
      <c r="AE736" s="229"/>
      <c r="AF736" s="229"/>
      <c r="AG736" s="229"/>
      <c r="AH736" s="238"/>
      <c r="AI736" s="240"/>
      <c r="AJ736" s="229"/>
      <c r="AK736" s="231"/>
      <c r="AL736" s="229"/>
      <c r="AM736" s="229"/>
      <c r="AN736" s="229"/>
      <c r="AO736" s="229"/>
      <c r="AP736" s="229"/>
      <c r="AQ736" s="229"/>
      <c r="AR736" s="229"/>
      <c r="AS736" s="229"/>
      <c r="AT736" s="229"/>
      <c r="AU736" s="229"/>
      <c r="AV736" s="229"/>
      <c r="AW736" s="5"/>
      <c r="AX736" s="5"/>
      <c r="AY736" s="5"/>
      <c r="AZ736" s="5"/>
      <c r="BA736" s="5"/>
      <c r="BB736" s="5"/>
      <c r="BC736" s="5"/>
      <c r="BD736" s="5"/>
      <c r="BE736" s="5"/>
      <c r="BF736" s="5"/>
      <c r="BG736" s="5"/>
    </row>
    <row r="737" customFormat="false" ht="1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212"/>
      <c r="V737" s="212"/>
      <c r="W737" s="212"/>
      <c r="X737" s="212"/>
      <c r="Y737" s="212"/>
      <c r="Z737" s="212"/>
      <c r="AA737" s="212"/>
      <c r="AB737" s="212"/>
      <c r="AC737" s="241" t="n">
        <v>496</v>
      </c>
      <c r="AD737" s="243" t="s">
        <v>1077</v>
      </c>
      <c r="AE737" s="229"/>
      <c r="AF737" s="229"/>
      <c r="AG737" s="229"/>
      <c r="AH737" s="238"/>
      <c r="AI737" s="240"/>
      <c r="AJ737" s="229"/>
      <c r="AK737" s="231"/>
      <c r="AL737" s="229"/>
      <c r="AM737" s="229"/>
      <c r="AN737" s="229"/>
      <c r="AO737" s="229"/>
      <c r="AP737" s="229"/>
      <c r="AQ737" s="229"/>
      <c r="AR737" s="229"/>
      <c r="AS737" s="229"/>
      <c r="AT737" s="229"/>
      <c r="AU737" s="229"/>
      <c r="AV737" s="229"/>
      <c r="AW737" s="5"/>
      <c r="AX737" s="5"/>
      <c r="AY737" s="5"/>
      <c r="AZ737" s="5"/>
      <c r="BA737" s="5"/>
      <c r="BB737" s="5"/>
      <c r="BC737" s="5"/>
      <c r="BD737" s="5"/>
      <c r="BE737" s="5"/>
      <c r="BF737" s="5"/>
      <c r="BG737" s="5"/>
    </row>
    <row r="738" customFormat="false" ht="1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212"/>
      <c r="V738" s="212"/>
      <c r="W738" s="212"/>
      <c r="X738" s="212"/>
      <c r="Y738" s="212"/>
      <c r="Z738" s="212"/>
      <c r="AA738" s="212"/>
      <c r="AB738" s="212"/>
      <c r="AC738" s="241" t="n">
        <v>497</v>
      </c>
      <c r="AD738" s="243" t="s">
        <v>1078</v>
      </c>
      <c r="AE738" s="229"/>
      <c r="AF738" s="229"/>
      <c r="AG738" s="229"/>
      <c r="AH738" s="238"/>
      <c r="AI738" s="240"/>
      <c r="AJ738" s="229"/>
      <c r="AK738" s="231"/>
      <c r="AL738" s="229"/>
      <c r="AM738" s="229"/>
      <c r="AN738" s="229"/>
      <c r="AO738" s="229"/>
      <c r="AP738" s="229"/>
      <c r="AQ738" s="229"/>
      <c r="AR738" s="229"/>
      <c r="AS738" s="229"/>
      <c r="AT738" s="229"/>
      <c r="AU738" s="229"/>
      <c r="AV738" s="229"/>
      <c r="AW738" s="5"/>
      <c r="AX738" s="5"/>
      <c r="AY738" s="5"/>
      <c r="AZ738" s="5"/>
      <c r="BA738" s="5"/>
      <c r="BB738" s="5"/>
      <c r="BC738" s="5"/>
      <c r="BD738" s="5"/>
      <c r="BE738" s="5"/>
      <c r="BF738" s="5"/>
      <c r="BG738" s="5"/>
    </row>
    <row r="739" customFormat="false" ht="1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212"/>
      <c r="V739" s="212"/>
      <c r="W739" s="212"/>
      <c r="X739" s="212"/>
      <c r="Y739" s="212"/>
      <c r="Z739" s="212"/>
      <c r="AA739" s="212"/>
      <c r="AB739" s="212"/>
      <c r="AC739" s="241" t="n">
        <v>498</v>
      </c>
      <c r="AD739" s="243" t="s">
        <v>1079</v>
      </c>
      <c r="AE739" s="229"/>
      <c r="AF739" s="229"/>
      <c r="AG739" s="229"/>
      <c r="AH739" s="238"/>
      <c r="AI739" s="240"/>
      <c r="AJ739" s="229"/>
      <c r="AK739" s="231"/>
      <c r="AL739" s="229"/>
      <c r="AM739" s="229"/>
      <c r="AN739" s="229"/>
      <c r="AO739" s="229"/>
      <c r="AP739" s="229"/>
      <c r="AQ739" s="229"/>
      <c r="AR739" s="229"/>
      <c r="AS739" s="229"/>
      <c r="AT739" s="229"/>
      <c r="AU739" s="229"/>
      <c r="AV739" s="229"/>
      <c r="AW739" s="5"/>
      <c r="AX739" s="5"/>
      <c r="AY739" s="5"/>
      <c r="AZ739" s="5"/>
      <c r="BA739" s="5"/>
      <c r="BB739" s="5"/>
      <c r="BC739" s="5"/>
      <c r="BD739" s="5"/>
      <c r="BE739" s="5"/>
      <c r="BF739" s="5"/>
      <c r="BG739" s="5"/>
    </row>
    <row r="740" customFormat="false" ht="1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212"/>
      <c r="V740" s="212"/>
      <c r="W740" s="212"/>
      <c r="X740" s="212"/>
      <c r="Y740" s="212"/>
      <c r="Z740" s="212"/>
      <c r="AA740" s="212"/>
      <c r="AB740" s="212"/>
      <c r="AC740" s="241" t="n">
        <v>499</v>
      </c>
      <c r="AD740" s="243" t="s">
        <v>1080</v>
      </c>
      <c r="AE740" s="229"/>
      <c r="AF740" s="229"/>
      <c r="AG740" s="229"/>
      <c r="AH740" s="238"/>
      <c r="AI740" s="240"/>
      <c r="AJ740" s="229"/>
      <c r="AK740" s="231"/>
      <c r="AL740" s="229"/>
      <c r="AM740" s="229"/>
      <c r="AN740" s="229"/>
      <c r="AO740" s="229"/>
      <c r="AP740" s="229"/>
      <c r="AQ740" s="229"/>
      <c r="AR740" s="229"/>
      <c r="AS740" s="229"/>
      <c r="AT740" s="229"/>
      <c r="AU740" s="229"/>
      <c r="AV740" s="229"/>
      <c r="AW740" s="5"/>
      <c r="AX740" s="5"/>
      <c r="AY740" s="5"/>
      <c r="AZ740" s="5"/>
      <c r="BA740" s="5"/>
      <c r="BB740" s="5"/>
      <c r="BC740" s="5"/>
      <c r="BD740" s="5"/>
      <c r="BE740" s="5"/>
      <c r="BF740" s="5"/>
      <c r="BG740" s="5"/>
    </row>
    <row r="741" customFormat="false" ht="1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212"/>
      <c r="V741" s="212"/>
      <c r="W741" s="212"/>
      <c r="X741" s="212"/>
      <c r="Y741" s="212"/>
      <c r="Z741" s="212"/>
      <c r="AA741" s="212"/>
      <c r="AB741" s="212"/>
      <c r="AC741" s="241" t="n">
        <v>500</v>
      </c>
      <c r="AD741" s="243" t="s">
        <v>1081</v>
      </c>
      <c r="AE741" s="229"/>
      <c r="AF741" s="229"/>
      <c r="AG741" s="229"/>
      <c r="AH741" s="238"/>
      <c r="AI741" s="240"/>
      <c r="AJ741" s="229"/>
      <c r="AK741" s="231"/>
      <c r="AL741" s="229"/>
      <c r="AM741" s="229"/>
      <c r="AN741" s="229"/>
      <c r="AO741" s="229"/>
      <c r="AP741" s="229"/>
      <c r="AQ741" s="229"/>
      <c r="AR741" s="229"/>
      <c r="AS741" s="229"/>
      <c r="AT741" s="229"/>
      <c r="AU741" s="229"/>
      <c r="AV741" s="229"/>
      <c r="AW741" s="5"/>
      <c r="AX741" s="5"/>
      <c r="AY741" s="5"/>
      <c r="AZ741" s="5"/>
      <c r="BA741" s="5"/>
      <c r="BB741" s="5"/>
      <c r="BC741" s="5"/>
      <c r="BD741" s="5"/>
      <c r="BE741" s="5"/>
      <c r="BF741" s="5"/>
      <c r="BG741" s="5"/>
    </row>
    <row r="742" customFormat="false" ht="1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212"/>
      <c r="V742" s="212"/>
      <c r="W742" s="212"/>
      <c r="X742" s="212"/>
      <c r="Y742" s="212"/>
      <c r="Z742" s="212"/>
      <c r="AA742" s="212"/>
      <c r="AB742" s="212"/>
      <c r="AC742" s="241" t="n">
        <v>501</v>
      </c>
      <c r="AD742" s="243" t="s">
        <v>1082</v>
      </c>
      <c r="AE742" s="229"/>
      <c r="AF742" s="229"/>
      <c r="AG742" s="229"/>
      <c r="AH742" s="238"/>
      <c r="AI742" s="240"/>
      <c r="AJ742" s="229"/>
      <c r="AK742" s="231"/>
      <c r="AL742" s="229"/>
      <c r="AM742" s="229"/>
      <c r="AN742" s="229"/>
      <c r="AO742" s="229"/>
      <c r="AP742" s="229"/>
      <c r="AQ742" s="229"/>
      <c r="AR742" s="229"/>
      <c r="AS742" s="229"/>
      <c r="AT742" s="229"/>
      <c r="AU742" s="229"/>
      <c r="AV742" s="229"/>
      <c r="AW742" s="5"/>
      <c r="AX742" s="5"/>
      <c r="AY742" s="5"/>
      <c r="AZ742" s="5"/>
      <c r="BA742" s="5"/>
      <c r="BB742" s="5"/>
      <c r="BC742" s="5"/>
      <c r="BD742" s="5"/>
      <c r="BE742" s="5"/>
      <c r="BF742" s="5"/>
      <c r="BG742" s="5"/>
    </row>
    <row r="743" customFormat="false" ht="1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212"/>
      <c r="V743" s="212"/>
      <c r="W743" s="212"/>
      <c r="X743" s="212"/>
      <c r="Y743" s="212"/>
      <c r="Z743" s="212"/>
      <c r="AA743" s="212"/>
      <c r="AB743" s="212"/>
      <c r="AC743" s="241" t="n">
        <v>502</v>
      </c>
      <c r="AD743" s="243" t="s">
        <v>1083</v>
      </c>
      <c r="AE743" s="229"/>
      <c r="AF743" s="229"/>
      <c r="AG743" s="229"/>
      <c r="AH743" s="238"/>
      <c r="AI743" s="240"/>
      <c r="AJ743" s="229"/>
      <c r="AK743" s="231"/>
      <c r="AL743" s="229"/>
      <c r="AM743" s="229"/>
      <c r="AN743" s="229"/>
      <c r="AO743" s="229"/>
      <c r="AP743" s="229"/>
      <c r="AQ743" s="229"/>
      <c r="AR743" s="229"/>
      <c r="AS743" s="229"/>
      <c r="AT743" s="229"/>
      <c r="AU743" s="229"/>
      <c r="AV743" s="229"/>
      <c r="AW743" s="5"/>
      <c r="AX743" s="5"/>
      <c r="AY743" s="5"/>
      <c r="AZ743" s="5"/>
      <c r="BA743" s="5"/>
      <c r="BB743" s="5"/>
      <c r="BC743" s="5"/>
      <c r="BD743" s="5"/>
      <c r="BE743" s="5"/>
      <c r="BF743" s="5"/>
      <c r="BG743" s="5"/>
    </row>
    <row r="744" customFormat="false" ht="1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212"/>
      <c r="V744" s="212"/>
      <c r="W744" s="212"/>
      <c r="X744" s="212"/>
      <c r="Y744" s="212"/>
      <c r="Z744" s="212"/>
      <c r="AA744" s="212"/>
      <c r="AB744" s="212"/>
      <c r="AC744" s="241" t="n">
        <v>503</v>
      </c>
      <c r="AD744" s="243" t="s">
        <v>1084</v>
      </c>
      <c r="AE744" s="229"/>
      <c r="AF744" s="229"/>
      <c r="AG744" s="229"/>
      <c r="AH744" s="238"/>
      <c r="AI744" s="240"/>
      <c r="AJ744" s="229"/>
      <c r="AK744" s="231"/>
      <c r="AL744" s="229"/>
      <c r="AM744" s="229"/>
      <c r="AN744" s="229"/>
      <c r="AO744" s="229"/>
      <c r="AP744" s="229"/>
      <c r="AQ744" s="229"/>
      <c r="AR744" s="229"/>
      <c r="AS744" s="229"/>
      <c r="AT744" s="229"/>
      <c r="AU744" s="229"/>
      <c r="AV744" s="229"/>
      <c r="AW744" s="5"/>
      <c r="AX744" s="5"/>
      <c r="AY744" s="5"/>
      <c r="AZ744" s="5"/>
      <c r="BA744" s="5"/>
      <c r="BB744" s="5"/>
      <c r="BC744" s="5"/>
      <c r="BD744" s="5"/>
      <c r="BE744" s="5"/>
      <c r="BF744" s="5"/>
      <c r="BG744" s="5"/>
    </row>
    <row r="745" customFormat="false" ht="1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212"/>
      <c r="V745" s="212"/>
      <c r="W745" s="212"/>
      <c r="X745" s="212"/>
      <c r="Y745" s="212"/>
      <c r="Z745" s="212"/>
      <c r="AA745" s="212"/>
      <c r="AB745" s="212"/>
      <c r="AC745" s="241" t="n">
        <v>504</v>
      </c>
      <c r="AD745" s="243" t="s">
        <v>1085</v>
      </c>
      <c r="AE745" s="229"/>
      <c r="AF745" s="229"/>
      <c r="AG745" s="229"/>
      <c r="AH745" s="238"/>
      <c r="AI745" s="240"/>
      <c r="AJ745" s="229"/>
      <c r="AK745" s="231"/>
      <c r="AL745" s="229"/>
      <c r="AM745" s="229"/>
      <c r="AN745" s="229"/>
      <c r="AO745" s="229"/>
      <c r="AP745" s="229"/>
      <c r="AQ745" s="229"/>
      <c r="AR745" s="229"/>
      <c r="AS745" s="229"/>
      <c r="AT745" s="229"/>
      <c r="AU745" s="229"/>
      <c r="AV745" s="229"/>
      <c r="AW745" s="5"/>
      <c r="AX745" s="5"/>
      <c r="AY745" s="5"/>
      <c r="AZ745" s="5"/>
      <c r="BA745" s="5"/>
      <c r="BB745" s="5"/>
      <c r="BC745" s="5"/>
      <c r="BD745" s="5"/>
      <c r="BE745" s="5"/>
      <c r="BF745" s="5"/>
      <c r="BG745" s="5"/>
    </row>
    <row r="746" customFormat="false" ht="1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212"/>
      <c r="V746" s="212"/>
      <c r="W746" s="212"/>
      <c r="X746" s="212"/>
      <c r="Y746" s="212"/>
      <c r="Z746" s="212"/>
      <c r="AA746" s="212"/>
      <c r="AB746" s="212"/>
      <c r="AC746" s="241" t="n">
        <v>505</v>
      </c>
      <c r="AD746" s="243" t="s">
        <v>1086</v>
      </c>
      <c r="AE746" s="229"/>
      <c r="AF746" s="229"/>
      <c r="AG746" s="229"/>
      <c r="AH746" s="238"/>
      <c r="AI746" s="240"/>
      <c r="AJ746" s="229"/>
      <c r="AK746" s="231"/>
      <c r="AL746" s="229"/>
      <c r="AM746" s="229"/>
      <c r="AN746" s="229"/>
      <c r="AO746" s="229"/>
      <c r="AP746" s="229"/>
      <c r="AQ746" s="229"/>
      <c r="AR746" s="229"/>
      <c r="AS746" s="229"/>
      <c r="AT746" s="229"/>
      <c r="AU746" s="229"/>
      <c r="AV746" s="229"/>
      <c r="AW746" s="5"/>
      <c r="AX746" s="5"/>
      <c r="AY746" s="5"/>
      <c r="AZ746" s="5"/>
      <c r="BA746" s="5"/>
      <c r="BB746" s="5"/>
      <c r="BC746" s="5"/>
      <c r="BD746" s="5"/>
      <c r="BE746" s="5"/>
      <c r="BF746" s="5"/>
      <c r="BG746" s="5"/>
    </row>
    <row r="747" customFormat="false" ht="1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212"/>
      <c r="V747" s="212"/>
      <c r="W747" s="212"/>
      <c r="X747" s="212"/>
      <c r="Y747" s="212"/>
      <c r="Z747" s="212"/>
      <c r="AA747" s="212"/>
      <c r="AB747" s="212"/>
      <c r="AC747" s="241" t="n">
        <v>506</v>
      </c>
      <c r="AD747" s="243" t="s">
        <v>1087</v>
      </c>
      <c r="AE747" s="229"/>
      <c r="AF747" s="229"/>
      <c r="AG747" s="229"/>
      <c r="AH747" s="238"/>
      <c r="AI747" s="240"/>
      <c r="AJ747" s="229"/>
      <c r="AK747" s="231"/>
      <c r="AL747" s="229"/>
      <c r="AM747" s="229"/>
      <c r="AN747" s="229"/>
      <c r="AO747" s="229"/>
      <c r="AP747" s="229"/>
      <c r="AQ747" s="229"/>
      <c r="AR747" s="229"/>
      <c r="AS747" s="229"/>
      <c r="AT747" s="229"/>
      <c r="AU747" s="229"/>
      <c r="AV747" s="229"/>
      <c r="AW747" s="5"/>
      <c r="AX747" s="5"/>
      <c r="AY747" s="5"/>
      <c r="AZ747" s="5"/>
      <c r="BA747" s="5"/>
      <c r="BB747" s="5"/>
      <c r="BC747" s="5"/>
      <c r="BD747" s="5"/>
      <c r="BE747" s="5"/>
      <c r="BF747" s="5"/>
      <c r="BG747" s="5"/>
    </row>
    <row r="748" customFormat="false" ht="1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212"/>
      <c r="V748" s="212"/>
      <c r="W748" s="212"/>
      <c r="X748" s="212"/>
      <c r="Y748" s="212"/>
      <c r="Z748" s="212"/>
      <c r="AA748" s="212"/>
      <c r="AB748" s="212"/>
      <c r="AC748" s="241" t="n">
        <v>507</v>
      </c>
      <c r="AD748" s="243" t="s">
        <v>1088</v>
      </c>
      <c r="AE748" s="229"/>
      <c r="AF748" s="229"/>
      <c r="AG748" s="229"/>
      <c r="AH748" s="238"/>
      <c r="AI748" s="240"/>
      <c r="AJ748" s="229"/>
      <c r="AK748" s="231"/>
      <c r="AL748" s="229"/>
      <c r="AM748" s="229"/>
      <c r="AN748" s="229"/>
      <c r="AO748" s="229"/>
      <c r="AP748" s="229"/>
      <c r="AQ748" s="229"/>
      <c r="AR748" s="229"/>
      <c r="AS748" s="229"/>
      <c r="AT748" s="229"/>
      <c r="AU748" s="229"/>
      <c r="AV748" s="229"/>
      <c r="AW748" s="5"/>
      <c r="AX748" s="5"/>
      <c r="AY748" s="5"/>
      <c r="AZ748" s="5"/>
      <c r="BA748" s="5"/>
      <c r="BB748" s="5"/>
      <c r="BC748" s="5"/>
      <c r="BD748" s="5"/>
      <c r="BE748" s="5"/>
      <c r="BF748" s="5"/>
      <c r="BG748" s="5"/>
    </row>
    <row r="749" customFormat="false" ht="1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212"/>
      <c r="V749" s="212"/>
      <c r="W749" s="212"/>
      <c r="X749" s="212"/>
      <c r="Y749" s="212"/>
      <c r="Z749" s="212"/>
      <c r="AA749" s="212"/>
      <c r="AB749" s="212"/>
      <c r="AC749" s="241" t="n">
        <v>508</v>
      </c>
      <c r="AD749" s="243" t="s">
        <v>1089</v>
      </c>
      <c r="AE749" s="229"/>
      <c r="AF749" s="229"/>
      <c r="AG749" s="229"/>
      <c r="AH749" s="238"/>
      <c r="AI749" s="240"/>
      <c r="AJ749" s="229"/>
      <c r="AK749" s="231"/>
      <c r="AL749" s="229"/>
      <c r="AM749" s="229"/>
      <c r="AN749" s="229"/>
      <c r="AO749" s="229"/>
      <c r="AP749" s="229"/>
      <c r="AQ749" s="229"/>
      <c r="AR749" s="229"/>
      <c r="AS749" s="229"/>
      <c r="AT749" s="229"/>
      <c r="AU749" s="229"/>
      <c r="AV749" s="229"/>
      <c r="AW749" s="5"/>
      <c r="AX749" s="5"/>
      <c r="AY749" s="5"/>
      <c r="AZ749" s="5"/>
      <c r="BA749" s="5"/>
      <c r="BB749" s="5"/>
      <c r="BC749" s="5"/>
      <c r="BD749" s="5"/>
      <c r="BE749" s="5"/>
      <c r="BF749" s="5"/>
      <c r="BG749" s="5"/>
    </row>
    <row r="750" customFormat="false" ht="1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212"/>
      <c r="V750" s="212"/>
      <c r="W750" s="212"/>
      <c r="X750" s="212"/>
      <c r="Y750" s="212"/>
      <c r="Z750" s="212"/>
      <c r="AA750" s="212"/>
      <c r="AB750" s="212"/>
      <c r="AC750" s="241" t="n">
        <v>509</v>
      </c>
      <c r="AD750" s="243" t="s">
        <v>1090</v>
      </c>
      <c r="AE750" s="229"/>
      <c r="AF750" s="229"/>
      <c r="AG750" s="229"/>
      <c r="AH750" s="238"/>
      <c r="AI750" s="240"/>
      <c r="AJ750" s="229"/>
      <c r="AK750" s="231"/>
      <c r="AL750" s="229"/>
      <c r="AM750" s="229"/>
      <c r="AN750" s="229"/>
      <c r="AO750" s="229"/>
      <c r="AP750" s="229"/>
      <c r="AQ750" s="229"/>
      <c r="AR750" s="229"/>
      <c r="AS750" s="229"/>
      <c r="AT750" s="229"/>
      <c r="AU750" s="229"/>
      <c r="AV750" s="229"/>
      <c r="AW750" s="5"/>
      <c r="AX750" s="5"/>
      <c r="AY750" s="5"/>
      <c r="AZ750" s="5"/>
      <c r="BA750" s="5"/>
      <c r="BB750" s="5"/>
      <c r="BC750" s="5"/>
      <c r="BD750" s="5"/>
      <c r="BE750" s="5"/>
      <c r="BF750" s="5"/>
      <c r="BG750" s="5"/>
    </row>
    <row r="751" customFormat="false" ht="1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212"/>
      <c r="V751" s="212"/>
      <c r="W751" s="212"/>
      <c r="X751" s="212"/>
      <c r="Y751" s="212"/>
      <c r="Z751" s="212"/>
      <c r="AA751" s="212"/>
      <c r="AB751" s="212"/>
      <c r="AC751" s="241" t="n">
        <v>510</v>
      </c>
      <c r="AD751" s="243" t="s">
        <v>1091</v>
      </c>
      <c r="AE751" s="229"/>
      <c r="AF751" s="229"/>
      <c r="AG751" s="229"/>
      <c r="AH751" s="238"/>
      <c r="AI751" s="240"/>
      <c r="AJ751" s="229"/>
      <c r="AK751" s="231"/>
      <c r="AL751" s="229"/>
      <c r="AM751" s="229"/>
      <c r="AN751" s="229"/>
      <c r="AO751" s="229"/>
      <c r="AP751" s="229"/>
      <c r="AQ751" s="229"/>
      <c r="AR751" s="229"/>
      <c r="AS751" s="229"/>
      <c r="AT751" s="229"/>
      <c r="AU751" s="229"/>
      <c r="AV751" s="229"/>
      <c r="AW751" s="5"/>
      <c r="AX751" s="5"/>
      <c r="AY751" s="5"/>
      <c r="AZ751" s="5"/>
      <c r="BA751" s="5"/>
      <c r="BB751" s="5"/>
      <c r="BC751" s="5"/>
      <c r="BD751" s="5"/>
      <c r="BE751" s="5"/>
      <c r="BF751" s="5"/>
      <c r="BG751" s="5"/>
    </row>
    <row r="752" customFormat="false" ht="1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212"/>
      <c r="V752" s="212"/>
      <c r="W752" s="212"/>
      <c r="X752" s="212"/>
      <c r="Y752" s="212"/>
      <c r="Z752" s="212"/>
      <c r="AA752" s="212"/>
      <c r="AB752" s="212"/>
      <c r="AC752" s="241" t="n">
        <v>511</v>
      </c>
      <c r="AD752" s="243" t="s">
        <v>1092</v>
      </c>
      <c r="AE752" s="229"/>
      <c r="AF752" s="229"/>
      <c r="AG752" s="229"/>
      <c r="AH752" s="238"/>
      <c r="AI752" s="240"/>
      <c r="AJ752" s="229"/>
      <c r="AK752" s="231"/>
      <c r="AL752" s="229"/>
      <c r="AM752" s="229"/>
      <c r="AN752" s="229"/>
      <c r="AO752" s="229"/>
      <c r="AP752" s="229"/>
      <c r="AQ752" s="229"/>
      <c r="AR752" s="229"/>
      <c r="AS752" s="229"/>
      <c r="AT752" s="229"/>
      <c r="AU752" s="229"/>
      <c r="AV752" s="229"/>
      <c r="AW752" s="5"/>
      <c r="AX752" s="5"/>
      <c r="AY752" s="5"/>
      <c r="AZ752" s="5"/>
      <c r="BA752" s="5"/>
      <c r="BB752" s="5"/>
      <c r="BC752" s="5"/>
      <c r="BD752" s="5"/>
      <c r="BE752" s="5"/>
      <c r="BF752" s="5"/>
      <c r="BG752" s="5"/>
    </row>
    <row r="753" customFormat="false" ht="1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212"/>
      <c r="V753" s="212"/>
      <c r="W753" s="212"/>
      <c r="X753" s="212"/>
      <c r="Y753" s="212"/>
      <c r="Z753" s="212"/>
      <c r="AA753" s="212"/>
      <c r="AB753" s="212"/>
      <c r="AC753" s="241" t="n">
        <v>512</v>
      </c>
      <c r="AD753" s="243" t="s">
        <v>1093</v>
      </c>
      <c r="AE753" s="229"/>
      <c r="AF753" s="229"/>
      <c r="AG753" s="229"/>
      <c r="AH753" s="238"/>
      <c r="AI753" s="240"/>
      <c r="AJ753" s="229"/>
      <c r="AK753" s="231"/>
      <c r="AL753" s="229"/>
      <c r="AM753" s="229"/>
      <c r="AN753" s="229"/>
      <c r="AO753" s="229"/>
      <c r="AP753" s="229"/>
      <c r="AQ753" s="229"/>
      <c r="AR753" s="229"/>
      <c r="AS753" s="229"/>
      <c r="AT753" s="229"/>
      <c r="AU753" s="229"/>
      <c r="AV753" s="229"/>
      <c r="AW753" s="5"/>
      <c r="AX753" s="5"/>
      <c r="AY753" s="5"/>
      <c r="AZ753" s="5"/>
      <c r="BA753" s="5"/>
      <c r="BB753" s="5"/>
      <c r="BC753" s="5"/>
      <c r="BD753" s="5"/>
      <c r="BE753" s="5"/>
      <c r="BF753" s="5"/>
      <c r="BG753" s="5"/>
    </row>
    <row r="754" customFormat="false" ht="1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212"/>
      <c r="V754" s="212"/>
      <c r="W754" s="212"/>
      <c r="X754" s="212"/>
      <c r="Y754" s="212"/>
      <c r="Z754" s="212"/>
      <c r="AA754" s="212"/>
      <c r="AB754" s="212"/>
      <c r="AC754" s="241" t="n">
        <v>513</v>
      </c>
      <c r="AD754" s="243" t="s">
        <v>1094</v>
      </c>
      <c r="AE754" s="229"/>
      <c r="AF754" s="229"/>
      <c r="AG754" s="229"/>
      <c r="AH754" s="238"/>
      <c r="AI754" s="240"/>
      <c r="AJ754" s="229"/>
      <c r="AK754" s="231"/>
      <c r="AL754" s="229"/>
      <c r="AM754" s="229"/>
      <c r="AN754" s="229"/>
      <c r="AO754" s="229"/>
      <c r="AP754" s="229"/>
      <c r="AQ754" s="229"/>
      <c r="AR754" s="229"/>
      <c r="AS754" s="229"/>
      <c r="AT754" s="229"/>
      <c r="AU754" s="229"/>
      <c r="AV754" s="229"/>
      <c r="AW754" s="5"/>
      <c r="AX754" s="5"/>
      <c r="AY754" s="5"/>
      <c r="AZ754" s="5"/>
      <c r="BA754" s="5"/>
      <c r="BB754" s="5"/>
      <c r="BC754" s="5"/>
      <c r="BD754" s="5"/>
      <c r="BE754" s="5"/>
      <c r="BF754" s="5"/>
      <c r="BG754" s="5"/>
    </row>
    <row r="755" customFormat="false" ht="1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212"/>
      <c r="V755" s="212"/>
      <c r="W755" s="212"/>
      <c r="X755" s="212"/>
      <c r="Y755" s="212"/>
      <c r="Z755" s="212"/>
      <c r="AA755" s="212"/>
      <c r="AB755" s="212"/>
      <c r="AC755" s="241" t="n">
        <v>514</v>
      </c>
      <c r="AD755" s="243" t="s">
        <v>1095</v>
      </c>
      <c r="AE755" s="229"/>
      <c r="AF755" s="229"/>
      <c r="AG755" s="229"/>
      <c r="AH755" s="238"/>
      <c r="AI755" s="240"/>
      <c r="AJ755" s="229"/>
      <c r="AK755" s="231"/>
      <c r="AL755" s="229"/>
      <c r="AM755" s="229"/>
      <c r="AN755" s="229"/>
      <c r="AO755" s="229"/>
      <c r="AP755" s="229"/>
      <c r="AQ755" s="229"/>
      <c r="AR755" s="229"/>
      <c r="AS755" s="229"/>
      <c r="AT755" s="229"/>
      <c r="AU755" s="229"/>
      <c r="AV755" s="229"/>
      <c r="AW755" s="5"/>
      <c r="AX755" s="5"/>
      <c r="AY755" s="5"/>
      <c r="AZ755" s="5"/>
      <c r="BA755" s="5"/>
      <c r="BB755" s="5"/>
      <c r="BC755" s="5"/>
      <c r="BD755" s="5"/>
      <c r="BE755" s="5"/>
      <c r="BF755" s="5"/>
      <c r="BG755" s="5"/>
    </row>
    <row r="756" customFormat="false" ht="1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212"/>
      <c r="V756" s="212"/>
      <c r="W756" s="212"/>
      <c r="X756" s="212"/>
      <c r="Y756" s="212"/>
      <c r="Z756" s="212"/>
      <c r="AA756" s="212"/>
      <c r="AB756" s="212"/>
      <c r="AC756" s="241" t="n">
        <v>515</v>
      </c>
      <c r="AD756" s="243" t="s">
        <v>1096</v>
      </c>
      <c r="AE756" s="229"/>
      <c r="AF756" s="229"/>
      <c r="AG756" s="229"/>
      <c r="AH756" s="238"/>
      <c r="AI756" s="240"/>
      <c r="AJ756" s="229"/>
      <c r="AK756" s="231"/>
      <c r="AL756" s="229"/>
      <c r="AM756" s="229"/>
      <c r="AN756" s="229"/>
      <c r="AO756" s="229"/>
      <c r="AP756" s="229"/>
      <c r="AQ756" s="229"/>
      <c r="AR756" s="229"/>
      <c r="AS756" s="229"/>
      <c r="AT756" s="229"/>
      <c r="AU756" s="229"/>
      <c r="AV756" s="229"/>
      <c r="AW756" s="5"/>
      <c r="AX756" s="5"/>
      <c r="AY756" s="5"/>
      <c r="AZ756" s="5"/>
      <c r="BA756" s="5"/>
      <c r="BB756" s="5"/>
      <c r="BC756" s="5"/>
      <c r="BD756" s="5"/>
      <c r="BE756" s="5"/>
      <c r="BF756" s="5"/>
      <c r="BG756" s="5"/>
    </row>
    <row r="757" customFormat="false" ht="1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212"/>
      <c r="V757" s="212"/>
      <c r="W757" s="212"/>
      <c r="X757" s="212"/>
      <c r="Y757" s="212"/>
      <c r="Z757" s="212"/>
      <c r="AA757" s="212"/>
      <c r="AB757" s="212"/>
      <c r="AC757" s="241" t="n">
        <v>516</v>
      </c>
      <c r="AD757" s="243" t="s">
        <v>1097</v>
      </c>
      <c r="AE757" s="229"/>
      <c r="AF757" s="229"/>
      <c r="AG757" s="229"/>
      <c r="AH757" s="238"/>
      <c r="AI757" s="240"/>
      <c r="AJ757" s="229"/>
      <c r="AK757" s="231"/>
      <c r="AL757" s="229"/>
      <c r="AM757" s="229"/>
      <c r="AN757" s="229"/>
      <c r="AO757" s="229"/>
      <c r="AP757" s="229"/>
      <c r="AQ757" s="229"/>
      <c r="AR757" s="229"/>
      <c r="AS757" s="229"/>
      <c r="AT757" s="229"/>
      <c r="AU757" s="229"/>
      <c r="AV757" s="229"/>
      <c r="AW757" s="5"/>
      <c r="AX757" s="5"/>
      <c r="AY757" s="5"/>
      <c r="AZ757" s="5"/>
      <c r="BA757" s="5"/>
      <c r="BB757" s="5"/>
      <c r="BC757" s="5"/>
      <c r="BD757" s="5"/>
      <c r="BE757" s="5"/>
      <c r="BF757" s="5"/>
      <c r="BG757" s="5"/>
    </row>
    <row r="758" customFormat="false" ht="1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212"/>
      <c r="V758" s="212"/>
      <c r="W758" s="212"/>
      <c r="X758" s="212"/>
      <c r="Y758" s="212"/>
      <c r="Z758" s="212"/>
      <c r="AA758" s="212"/>
      <c r="AB758" s="212"/>
      <c r="AC758" s="241" t="n">
        <v>517</v>
      </c>
      <c r="AD758" s="243" t="s">
        <v>1098</v>
      </c>
      <c r="AE758" s="229"/>
      <c r="AF758" s="229"/>
      <c r="AG758" s="229"/>
      <c r="AH758" s="238"/>
      <c r="AI758" s="240"/>
      <c r="AJ758" s="229"/>
      <c r="AK758" s="231"/>
      <c r="AL758" s="229"/>
      <c r="AM758" s="229"/>
      <c r="AN758" s="229"/>
      <c r="AO758" s="229"/>
      <c r="AP758" s="229"/>
      <c r="AQ758" s="229"/>
      <c r="AR758" s="229"/>
      <c r="AS758" s="229"/>
      <c r="AT758" s="229"/>
      <c r="AU758" s="229"/>
      <c r="AV758" s="229"/>
      <c r="AW758" s="5"/>
      <c r="AX758" s="5"/>
      <c r="AY758" s="5"/>
      <c r="AZ758" s="5"/>
      <c r="BA758" s="5"/>
      <c r="BB758" s="5"/>
      <c r="BC758" s="5"/>
      <c r="BD758" s="5"/>
      <c r="BE758" s="5"/>
      <c r="BF758" s="5"/>
      <c r="BG758" s="5"/>
    </row>
    <row r="759" customFormat="false" ht="1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212"/>
      <c r="V759" s="212"/>
      <c r="W759" s="212"/>
      <c r="X759" s="212"/>
      <c r="Y759" s="212"/>
      <c r="Z759" s="212"/>
      <c r="AA759" s="212"/>
      <c r="AB759" s="212"/>
      <c r="AC759" s="241" t="n">
        <v>518</v>
      </c>
      <c r="AD759" s="243" t="s">
        <v>1099</v>
      </c>
      <c r="AE759" s="229"/>
      <c r="AF759" s="229"/>
      <c r="AG759" s="229"/>
      <c r="AH759" s="238"/>
      <c r="AI759" s="240"/>
      <c r="AJ759" s="229"/>
      <c r="AK759" s="231"/>
      <c r="AL759" s="229"/>
      <c r="AM759" s="229"/>
      <c r="AN759" s="229"/>
      <c r="AO759" s="229"/>
      <c r="AP759" s="229"/>
      <c r="AQ759" s="229"/>
      <c r="AR759" s="229"/>
      <c r="AS759" s="229"/>
      <c r="AT759" s="229"/>
      <c r="AU759" s="229"/>
      <c r="AV759" s="229"/>
      <c r="AW759" s="5"/>
      <c r="AX759" s="5"/>
      <c r="AY759" s="5"/>
      <c r="AZ759" s="5"/>
      <c r="BA759" s="5"/>
      <c r="BB759" s="5"/>
      <c r="BC759" s="5"/>
      <c r="BD759" s="5"/>
      <c r="BE759" s="5"/>
      <c r="BF759" s="5"/>
      <c r="BG759" s="5"/>
    </row>
    <row r="760" customFormat="false" ht="1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212"/>
      <c r="V760" s="212"/>
      <c r="W760" s="212"/>
      <c r="X760" s="212"/>
      <c r="Y760" s="212"/>
      <c r="Z760" s="212"/>
      <c r="AA760" s="212"/>
      <c r="AB760" s="212"/>
      <c r="AC760" s="241" t="n">
        <v>519</v>
      </c>
      <c r="AD760" s="243" t="s">
        <v>1100</v>
      </c>
      <c r="AE760" s="229"/>
      <c r="AF760" s="229"/>
      <c r="AG760" s="229"/>
      <c r="AH760" s="238"/>
      <c r="AI760" s="240"/>
      <c r="AJ760" s="229"/>
      <c r="AK760" s="231"/>
      <c r="AL760" s="229"/>
      <c r="AM760" s="229"/>
      <c r="AN760" s="229"/>
      <c r="AO760" s="229"/>
      <c r="AP760" s="229"/>
      <c r="AQ760" s="229"/>
      <c r="AR760" s="229"/>
      <c r="AS760" s="229"/>
      <c r="AT760" s="229"/>
      <c r="AU760" s="229"/>
      <c r="AV760" s="229"/>
      <c r="AW760" s="5"/>
      <c r="AX760" s="5"/>
      <c r="AY760" s="5"/>
      <c r="AZ760" s="5"/>
      <c r="BA760" s="5"/>
      <c r="BB760" s="5"/>
      <c r="BC760" s="5"/>
      <c r="BD760" s="5"/>
      <c r="BE760" s="5"/>
      <c r="BF760" s="5"/>
      <c r="BG760" s="5"/>
    </row>
    <row r="761" customFormat="false" ht="1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212"/>
      <c r="V761" s="212"/>
      <c r="W761" s="212"/>
      <c r="X761" s="212"/>
      <c r="Y761" s="212"/>
      <c r="Z761" s="212"/>
      <c r="AA761" s="212"/>
      <c r="AB761" s="212"/>
      <c r="AC761" s="241" t="n">
        <v>520</v>
      </c>
      <c r="AD761" s="243" t="s">
        <v>1101</v>
      </c>
      <c r="AE761" s="229"/>
      <c r="AF761" s="229"/>
      <c r="AG761" s="229"/>
      <c r="AH761" s="238"/>
      <c r="AI761" s="240"/>
      <c r="AJ761" s="229"/>
      <c r="AK761" s="231"/>
      <c r="AL761" s="229"/>
      <c r="AM761" s="229"/>
      <c r="AN761" s="229"/>
      <c r="AO761" s="229"/>
      <c r="AP761" s="229"/>
      <c r="AQ761" s="229"/>
      <c r="AR761" s="229"/>
      <c r="AS761" s="229"/>
      <c r="AT761" s="229"/>
      <c r="AU761" s="229"/>
      <c r="AV761" s="229"/>
      <c r="AW761" s="5"/>
      <c r="AX761" s="5"/>
      <c r="AY761" s="5"/>
      <c r="AZ761" s="5"/>
      <c r="BA761" s="5"/>
      <c r="BB761" s="5"/>
      <c r="BC761" s="5"/>
      <c r="BD761" s="5"/>
      <c r="BE761" s="5"/>
      <c r="BF761" s="5"/>
      <c r="BG761" s="5"/>
    </row>
    <row r="762" customFormat="false" ht="1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212"/>
      <c r="V762" s="212"/>
      <c r="W762" s="212"/>
      <c r="X762" s="212"/>
      <c r="Y762" s="212"/>
      <c r="Z762" s="212"/>
      <c r="AA762" s="212"/>
      <c r="AB762" s="212"/>
      <c r="AC762" s="241" t="n">
        <v>521</v>
      </c>
      <c r="AD762" s="243" t="s">
        <v>1102</v>
      </c>
      <c r="AE762" s="229"/>
      <c r="AF762" s="229"/>
      <c r="AG762" s="229"/>
      <c r="AH762" s="238"/>
      <c r="AI762" s="240"/>
      <c r="AJ762" s="229"/>
      <c r="AK762" s="231"/>
      <c r="AL762" s="229"/>
      <c r="AM762" s="229"/>
      <c r="AN762" s="229"/>
      <c r="AO762" s="229"/>
      <c r="AP762" s="229"/>
      <c r="AQ762" s="229"/>
      <c r="AR762" s="229"/>
      <c r="AS762" s="229"/>
      <c r="AT762" s="229"/>
      <c r="AU762" s="229"/>
      <c r="AV762" s="229"/>
      <c r="AW762" s="5"/>
      <c r="AX762" s="5"/>
      <c r="AY762" s="5"/>
      <c r="AZ762" s="5"/>
      <c r="BA762" s="5"/>
      <c r="BB762" s="5"/>
      <c r="BC762" s="5"/>
      <c r="BD762" s="5"/>
      <c r="BE762" s="5"/>
      <c r="BF762" s="5"/>
      <c r="BG762" s="5"/>
    </row>
    <row r="763" customFormat="false" ht="1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212"/>
      <c r="V763" s="212"/>
      <c r="W763" s="212"/>
      <c r="X763" s="212"/>
      <c r="Y763" s="212"/>
      <c r="Z763" s="212"/>
      <c r="AA763" s="212"/>
      <c r="AB763" s="212"/>
      <c r="AC763" s="241" t="n">
        <v>522</v>
      </c>
      <c r="AD763" s="243" t="s">
        <v>1103</v>
      </c>
      <c r="AE763" s="229"/>
      <c r="AF763" s="229"/>
      <c r="AG763" s="229"/>
      <c r="AH763" s="238"/>
      <c r="AI763" s="240"/>
      <c r="AJ763" s="229"/>
      <c r="AK763" s="231"/>
      <c r="AL763" s="229"/>
      <c r="AM763" s="229"/>
      <c r="AN763" s="229"/>
      <c r="AO763" s="229"/>
      <c r="AP763" s="229"/>
      <c r="AQ763" s="229"/>
      <c r="AR763" s="229"/>
      <c r="AS763" s="229"/>
      <c r="AT763" s="229"/>
      <c r="AU763" s="229"/>
      <c r="AV763" s="229"/>
      <c r="AW763" s="5"/>
      <c r="AX763" s="5"/>
      <c r="AY763" s="5"/>
      <c r="AZ763" s="5"/>
      <c r="BA763" s="5"/>
      <c r="BB763" s="5"/>
      <c r="BC763" s="5"/>
      <c r="BD763" s="5"/>
      <c r="BE763" s="5"/>
      <c r="BF763" s="5"/>
      <c r="BG763" s="5"/>
    </row>
    <row r="764" customFormat="false" ht="1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212"/>
      <c r="V764" s="212"/>
      <c r="W764" s="212"/>
      <c r="X764" s="212"/>
      <c r="Y764" s="212"/>
      <c r="Z764" s="212"/>
      <c r="AA764" s="212"/>
      <c r="AB764" s="212"/>
      <c r="AC764" s="241" t="n">
        <v>523</v>
      </c>
      <c r="AD764" s="243" t="s">
        <v>1104</v>
      </c>
      <c r="AE764" s="229"/>
      <c r="AF764" s="229"/>
      <c r="AG764" s="229"/>
      <c r="AH764" s="238"/>
      <c r="AI764" s="240"/>
      <c r="AJ764" s="229"/>
      <c r="AK764" s="231"/>
      <c r="AL764" s="229"/>
      <c r="AM764" s="229"/>
      <c r="AN764" s="229"/>
      <c r="AO764" s="229"/>
      <c r="AP764" s="229"/>
      <c r="AQ764" s="229"/>
      <c r="AR764" s="229"/>
      <c r="AS764" s="229"/>
      <c r="AT764" s="229"/>
      <c r="AU764" s="229"/>
      <c r="AV764" s="229"/>
      <c r="AW764" s="5"/>
      <c r="AX764" s="5"/>
      <c r="AY764" s="5"/>
      <c r="AZ764" s="5"/>
      <c r="BA764" s="5"/>
      <c r="BB764" s="5"/>
      <c r="BC764" s="5"/>
      <c r="BD764" s="5"/>
      <c r="BE764" s="5"/>
      <c r="BF764" s="5"/>
      <c r="BG764" s="5"/>
    </row>
    <row r="765" customFormat="false" ht="1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212"/>
      <c r="V765" s="212"/>
      <c r="W765" s="212"/>
      <c r="X765" s="212"/>
      <c r="Y765" s="212"/>
      <c r="Z765" s="212"/>
      <c r="AA765" s="212"/>
      <c r="AB765" s="212"/>
      <c r="AC765" s="241" t="n">
        <v>524</v>
      </c>
      <c r="AD765" s="243" t="s">
        <v>1105</v>
      </c>
      <c r="AE765" s="229"/>
      <c r="AF765" s="229"/>
      <c r="AG765" s="229"/>
      <c r="AH765" s="238"/>
      <c r="AI765" s="240"/>
      <c r="AJ765" s="229"/>
      <c r="AK765" s="231"/>
      <c r="AL765" s="229"/>
      <c r="AM765" s="229"/>
      <c r="AN765" s="229"/>
      <c r="AO765" s="229"/>
      <c r="AP765" s="229"/>
      <c r="AQ765" s="229"/>
      <c r="AR765" s="229"/>
      <c r="AS765" s="229"/>
      <c r="AT765" s="229"/>
      <c r="AU765" s="229"/>
      <c r="AV765" s="229"/>
      <c r="AW765" s="5"/>
      <c r="AX765" s="5"/>
      <c r="AY765" s="5"/>
      <c r="AZ765" s="5"/>
      <c r="BA765" s="5"/>
      <c r="BB765" s="5"/>
      <c r="BC765" s="5"/>
      <c r="BD765" s="5"/>
      <c r="BE765" s="5"/>
      <c r="BF765" s="5"/>
      <c r="BG765" s="5"/>
    </row>
    <row r="766" customFormat="false" ht="1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212"/>
      <c r="V766" s="212"/>
      <c r="W766" s="212"/>
      <c r="X766" s="212"/>
      <c r="Y766" s="212"/>
      <c r="Z766" s="212"/>
      <c r="AA766" s="212"/>
      <c r="AB766" s="212"/>
      <c r="AC766" s="241" t="n">
        <v>525</v>
      </c>
      <c r="AD766" s="243" t="s">
        <v>1106</v>
      </c>
      <c r="AE766" s="229"/>
      <c r="AF766" s="229"/>
      <c r="AG766" s="229"/>
      <c r="AH766" s="238"/>
      <c r="AI766" s="240"/>
      <c r="AJ766" s="229"/>
      <c r="AK766" s="231"/>
      <c r="AL766" s="229"/>
      <c r="AM766" s="229"/>
      <c r="AN766" s="229"/>
      <c r="AO766" s="229"/>
      <c r="AP766" s="229"/>
      <c r="AQ766" s="229"/>
      <c r="AR766" s="229"/>
      <c r="AS766" s="229"/>
      <c r="AT766" s="229"/>
      <c r="AU766" s="229"/>
      <c r="AV766" s="229"/>
      <c r="AW766" s="5"/>
      <c r="AX766" s="5"/>
      <c r="AY766" s="5"/>
      <c r="AZ766" s="5"/>
      <c r="BA766" s="5"/>
      <c r="BB766" s="5"/>
      <c r="BC766" s="5"/>
      <c r="BD766" s="5"/>
      <c r="BE766" s="5"/>
      <c r="BF766" s="5"/>
      <c r="BG766" s="5"/>
    </row>
    <row r="767" customFormat="false" ht="1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212"/>
      <c r="V767" s="212"/>
      <c r="W767" s="212"/>
      <c r="X767" s="212"/>
      <c r="Y767" s="212"/>
      <c r="Z767" s="212"/>
      <c r="AA767" s="212"/>
      <c r="AB767" s="212"/>
      <c r="AC767" s="241" t="n">
        <v>526</v>
      </c>
      <c r="AD767" s="243" t="s">
        <v>1107</v>
      </c>
      <c r="AE767" s="229"/>
      <c r="AF767" s="229"/>
      <c r="AG767" s="229"/>
      <c r="AH767" s="238"/>
      <c r="AI767" s="240"/>
      <c r="AJ767" s="229"/>
      <c r="AK767" s="231"/>
      <c r="AL767" s="229"/>
      <c r="AM767" s="229"/>
      <c r="AN767" s="229"/>
      <c r="AO767" s="229"/>
      <c r="AP767" s="229"/>
      <c r="AQ767" s="229"/>
      <c r="AR767" s="229"/>
      <c r="AS767" s="229"/>
      <c r="AT767" s="229"/>
      <c r="AU767" s="229"/>
      <c r="AV767" s="229"/>
      <c r="AW767" s="5"/>
      <c r="AX767" s="5"/>
      <c r="AY767" s="5"/>
      <c r="AZ767" s="5"/>
      <c r="BA767" s="5"/>
      <c r="BB767" s="5"/>
      <c r="BC767" s="5"/>
      <c r="BD767" s="5"/>
      <c r="BE767" s="5"/>
      <c r="BF767" s="5"/>
      <c r="BG767" s="5"/>
    </row>
    <row r="768" customFormat="false" ht="1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212"/>
      <c r="V768" s="212"/>
      <c r="W768" s="212"/>
      <c r="X768" s="212"/>
      <c r="Y768" s="212"/>
      <c r="Z768" s="212"/>
      <c r="AA768" s="212"/>
      <c r="AB768" s="212"/>
      <c r="AC768" s="241" t="n">
        <v>527</v>
      </c>
      <c r="AD768" s="243" t="s">
        <v>1108</v>
      </c>
      <c r="AE768" s="229"/>
      <c r="AF768" s="229"/>
      <c r="AG768" s="229"/>
      <c r="AH768" s="238"/>
      <c r="AI768" s="240"/>
      <c r="AJ768" s="229"/>
      <c r="AK768" s="231"/>
      <c r="AL768" s="229"/>
      <c r="AM768" s="229"/>
      <c r="AN768" s="229"/>
      <c r="AO768" s="229"/>
      <c r="AP768" s="229"/>
      <c r="AQ768" s="229"/>
      <c r="AR768" s="229"/>
      <c r="AS768" s="229"/>
      <c r="AT768" s="229"/>
      <c r="AU768" s="229"/>
      <c r="AV768" s="229"/>
      <c r="AW768" s="5"/>
      <c r="AX768" s="5"/>
      <c r="AY768" s="5"/>
      <c r="AZ768" s="5"/>
      <c r="BA768" s="5"/>
      <c r="BB768" s="5"/>
      <c r="BC768" s="5"/>
      <c r="BD768" s="5"/>
      <c r="BE768" s="5"/>
      <c r="BF768" s="5"/>
      <c r="BG768" s="5"/>
    </row>
    <row r="769" customFormat="false" ht="1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212"/>
      <c r="V769" s="212"/>
      <c r="W769" s="212"/>
      <c r="X769" s="212"/>
      <c r="Y769" s="212"/>
      <c r="Z769" s="212"/>
      <c r="AA769" s="212"/>
      <c r="AB769" s="212"/>
      <c r="AC769" s="241" t="n">
        <v>528</v>
      </c>
      <c r="AD769" s="243" t="s">
        <v>1109</v>
      </c>
      <c r="AE769" s="229"/>
      <c r="AF769" s="229"/>
      <c r="AG769" s="229"/>
      <c r="AH769" s="238"/>
      <c r="AI769" s="240"/>
      <c r="AJ769" s="229"/>
      <c r="AK769" s="231"/>
      <c r="AL769" s="229"/>
      <c r="AM769" s="229"/>
      <c r="AN769" s="229"/>
      <c r="AO769" s="229"/>
      <c r="AP769" s="229"/>
      <c r="AQ769" s="229"/>
      <c r="AR769" s="229"/>
      <c r="AS769" s="229"/>
      <c r="AT769" s="229"/>
      <c r="AU769" s="229"/>
      <c r="AV769" s="229"/>
      <c r="AW769" s="5"/>
      <c r="AX769" s="5"/>
      <c r="AY769" s="5"/>
      <c r="AZ769" s="5"/>
      <c r="BA769" s="5"/>
      <c r="BB769" s="5"/>
      <c r="BC769" s="5"/>
      <c r="BD769" s="5"/>
      <c r="BE769" s="5"/>
      <c r="BF769" s="5"/>
      <c r="BG769" s="5"/>
    </row>
    <row r="770" customFormat="false" ht="1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212"/>
      <c r="V770" s="212"/>
      <c r="W770" s="212"/>
      <c r="X770" s="212"/>
      <c r="Y770" s="212"/>
      <c r="Z770" s="212"/>
      <c r="AA770" s="212"/>
      <c r="AB770" s="212"/>
      <c r="AC770" s="241" t="n">
        <v>529</v>
      </c>
      <c r="AD770" s="243" t="s">
        <v>1110</v>
      </c>
      <c r="AE770" s="229"/>
      <c r="AF770" s="229"/>
      <c r="AG770" s="229"/>
      <c r="AH770" s="238"/>
      <c r="AI770" s="240"/>
      <c r="AJ770" s="229"/>
      <c r="AK770" s="231"/>
      <c r="AL770" s="229"/>
      <c r="AM770" s="229"/>
      <c r="AN770" s="229"/>
      <c r="AO770" s="229"/>
      <c r="AP770" s="229"/>
      <c r="AQ770" s="229"/>
      <c r="AR770" s="229"/>
      <c r="AS770" s="229"/>
      <c r="AT770" s="229"/>
      <c r="AU770" s="229"/>
      <c r="AV770" s="229"/>
      <c r="AW770" s="5"/>
      <c r="AX770" s="5"/>
      <c r="AY770" s="5"/>
      <c r="AZ770" s="5"/>
      <c r="BA770" s="5"/>
      <c r="BB770" s="5"/>
      <c r="BC770" s="5"/>
      <c r="BD770" s="5"/>
      <c r="BE770" s="5"/>
      <c r="BF770" s="5"/>
      <c r="BG770" s="5"/>
    </row>
    <row r="771" customFormat="false" ht="1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212"/>
      <c r="V771" s="212"/>
      <c r="W771" s="212"/>
      <c r="X771" s="212"/>
      <c r="Y771" s="212"/>
      <c r="Z771" s="212"/>
      <c r="AA771" s="212"/>
      <c r="AB771" s="212"/>
      <c r="AC771" s="241" t="n">
        <v>530</v>
      </c>
      <c r="AD771" s="243" t="s">
        <v>1111</v>
      </c>
      <c r="AE771" s="229"/>
      <c r="AF771" s="229"/>
      <c r="AG771" s="229"/>
      <c r="AH771" s="238"/>
      <c r="AI771" s="240"/>
      <c r="AJ771" s="229"/>
      <c r="AK771" s="231"/>
      <c r="AL771" s="229"/>
      <c r="AM771" s="229"/>
      <c r="AN771" s="229"/>
      <c r="AO771" s="229"/>
      <c r="AP771" s="229"/>
      <c r="AQ771" s="229"/>
      <c r="AR771" s="229"/>
      <c r="AS771" s="229"/>
      <c r="AT771" s="229"/>
      <c r="AU771" s="229"/>
      <c r="AV771" s="229"/>
      <c r="AW771" s="5"/>
      <c r="AX771" s="5"/>
      <c r="AY771" s="5"/>
      <c r="AZ771" s="5"/>
      <c r="BA771" s="5"/>
      <c r="BB771" s="5"/>
      <c r="BC771" s="5"/>
      <c r="BD771" s="5"/>
      <c r="BE771" s="5"/>
      <c r="BF771" s="5"/>
      <c r="BG771" s="5"/>
    </row>
    <row r="772" customFormat="false" ht="1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212"/>
      <c r="V772" s="212"/>
      <c r="W772" s="212"/>
      <c r="X772" s="212"/>
      <c r="Y772" s="212"/>
      <c r="Z772" s="212"/>
      <c r="AA772" s="212"/>
      <c r="AB772" s="212"/>
      <c r="AC772" s="241" t="n">
        <v>531</v>
      </c>
      <c r="AD772" s="243" t="s">
        <v>1112</v>
      </c>
      <c r="AE772" s="229"/>
      <c r="AF772" s="229"/>
      <c r="AG772" s="229"/>
      <c r="AH772" s="238"/>
      <c r="AI772" s="240"/>
      <c r="AJ772" s="229"/>
      <c r="AK772" s="231"/>
      <c r="AL772" s="229"/>
      <c r="AM772" s="229"/>
      <c r="AN772" s="229"/>
      <c r="AO772" s="229"/>
      <c r="AP772" s="229"/>
      <c r="AQ772" s="229"/>
      <c r="AR772" s="229"/>
      <c r="AS772" s="229"/>
      <c r="AT772" s="229"/>
      <c r="AU772" s="229"/>
      <c r="AV772" s="229"/>
      <c r="AW772" s="5"/>
      <c r="AX772" s="5"/>
      <c r="AY772" s="5"/>
      <c r="AZ772" s="5"/>
      <c r="BA772" s="5"/>
      <c r="BB772" s="5"/>
      <c r="BC772" s="5"/>
      <c r="BD772" s="5"/>
      <c r="BE772" s="5"/>
      <c r="BF772" s="5"/>
      <c r="BG772" s="5"/>
    </row>
    <row r="773" customFormat="false" ht="1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212"/>
      <c r="V773" s="212"/>
      <c r="W773" s="212"/>
      <c r="X773" s="212"/>
      <c r="Y773" s="212"/>
      <c r="Z773" s="212"/>
      <c r="AA773" s="212"/>
      <c r="AB773" s="212"/>
      <c r="AC773" s="241" t="n">
        <v>532</v>
      </c>
      <c r="AD773" s="243" t="s">
        <v>1113</v>
      </c>
      <c r="AE773" s="229"/>
      <c r="AF773" s="229"/>
      <c r="AG773" s="229"/>
      <c r="AH773" s="238"/>
      <c r="AI773" s="240"/>
      <c r="AJ773" s="229"/>
      <c r="AK773" s="231"/>
      <c r="AL773" s="229"/>
      <c r="AM773" s="229"/>
      <c r="AN773" s="229"/>
      <c r="AO773" s="229"/>
      <c r="AP773" s="229"/>
      <c r="AQ773" s="229"/>
      <c r="AR773" s="229"/>
      <c r="AS773" s="229"/>
      <c r="AT773" s="229"/>
      <c r="AU773" s="229"/>
      <c r="AV773" s="229"/>
      <c r="AW773" s="5"/>
      <c r="AX773" s="5"/>
      <c r="AY773" s="5"/>
      <c r="AZ773" s="5"/>
      <c r="BA773" s="5"/>
      <c r="BB773" s="5"/>
      <c r="BC773" s="5"/>
      <c r="BD773" s="5"/>
      <c r="BE773" s="5"/>
      <c r="BF773" s="5"/>
      <c r="BG773" s="5"/>
    </row>
    <row r="774" customFormat="false" ht="1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212"/>
      <c r="V774" s="212"/>
      <c r="W774" s="212"/>
      <c r="X774" s="212"/>
      <c r="Y774" s="212"/>
      <c r="Z774" s="212"/>
      <c r="AA774" s="212"/>
      <c r="AB774" s="212"/>
      <c r="AC774" s="241" t="n">
        <v>533</v>
      </c>
      <c r="AD774" s="243" t="s">
        <v>1114</v>
      </c>
      <c r="AE774" s="229"/>
      <c r="AF774" s="229"/>
      <c r="AG774" s="229"/>
      <c r="AH774" s="238"/>
      <c r="AI774" s="240"/>
      <c r="AJ774" s="229"/>
      <c r="AK774" s="231"/>
      <c r="AL774" s="229"/>
      <c r="AM774" s="229"/>
      <c r="AN774" s="229"/>
      <c r="AO774" s="229"/>
      <c r="AP774" s="229"/>
      <c r="AQ774" s="229"/>
      <c r="AR774" s="229"/>
      <c r="AS774" s="229"/>
      <c r="AT774" s="229"/>
      <c r="AU774" s="229"/>
      <c r="AV774" s="229"/>
      <c r="AW774" s="5"/>
      <c r="AX774" s="5"/>
      <c r="AY774" s="5"/>
      <c r="AZ774" s="5"/>
      <c r="BA774" s="5"/>
      <c r="BB774" s="5"/>
      <c r="BC774" s="5"/>
      <c r="BD774" s="5"/>
      <c r="BE774" s="5"/>
      <c r="BF774" s="5"/>
      <c r="BG774" s="5"/>
    </row>
    <row r="775" customFormat="false" ht="1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212"/>
      <c r="V775" s="212"/>
      <c r="W775" s="212"/>
      <c r="X775" s="212"/>
      <c r="Y775" s="212"/>
      <c r="Z775" s="212"/>
      <c r="AA775" s="212"/>
      <c r="AB775" s="212"/>
      <c r="AC775" s="241" t="n">
        <v>534</v>
      </c>
      <c r="AD775" s="243" t="s">
        <v>1115</v>
      </c>
      <c r="AE775" s="229"/>
      <c r="AF775" s="229"/>
      <c r="AG775" s="229"/>
      <c r="AH775" s="238"/>
      <c r="AI775" s="240"/>
      <c r="AJ775" s="229"/>
      <c r="AK775" s="231"/>
      <c r="AL775" s="229"/>
      <c r="AM775" s="229"/>
      <c r="AN775" s="229"/>
      <c r="AO775" s="229"/>
      <c r="AP775" s="229"/>
      <c r="AQ775" s="229"/>
      <c r="AR775" s="229"/>
      <c r="AS775" s="229"/>
      <c r="AT775" s="229"/>
      <c r="AU775" s="229"/>
      <c r="AV775" s="229"/>
      <c r="AW775" s="5"/>
      <c r="AX775" s="5"/>
      <c r="AY775" s="5"/>
      <c r="AZ775" s="5"/>
      <c r="BA775" s="5"/>
      <c r="BB775" s="5"/>
      <c r="BC775" s="5"/>
      <c r="BD775" s="5"/>
      <c r="BE775" s="5"/>
      <c r="BF775" s="5"/>
      <c r="BG775" s="5"/>
    </row>
    <row r="776" customFormat="false" ht="1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212"/>
      <c r="V776" s="212"/>
      <c r="W776" s="212"/>
      <c r="X776" s="212"/>
      <c r="Y776" s="212"/>
      <c r="Z776" s="212"/>
      <c r="AA776" s="212"/>
      <c r="AB776" s="212"/>
      <c r="AC776" s="241" t="n">
        <v>535</v>
      </c>
      <c r="AD776" s="243" t="s">
        <v>1116</v>
      </c>
      <c r="AE776" s="229"/>
      <c r="AF776" s="229"/>
      <c r="AG776" s="229"/>
      <c r="AH776" s="238"/>
      <c r="AI776" s="240"/>
      <c r="AJ776" s="229"/>
      <c r="AK776" s="231"/>
      <c r="AL776" s="229"/>
      <c r="AM776" s="229"/>
      <c r="AN776" s="229"/>
      <c r="AO776" s="229"/>
      <c r="AP776" s="229"/>
      <c r="AQ776" s="229"/>
      <c r="AR776" s="229"/>
      <c r="AS776" s="229"/>
      <c r="AT776" s="229"/>
      <c r="AU776" s="229"/>
      <c r="AV776" s="229"/>
      <c r="AW776" s="5"/>
      <c r="AX776" s="5"/>
      <c r="AY776" s="5"/>
      <c r="AZ776" s="5"/>
      <c r="BA776" s="5"/>
      <c r="BB776" s="5"/>
      <c r="BC776" s="5"/>
      <c r="BD776" s="5"/>
      <c r="BE776" s="5"/>
      <c r="BF776" s="5"/>
      <c r="BG776" s="5"/>
    </row>
    <row r="777" customFormat="false" ht="1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212"/>
      <c r="V777" s="212"/>
      <c r="W777" s="212"/>
      <c r="X777" s="212"/>
      <c r="Y777" s="212"/>
      <c r="Z777" s="212"/>
      <c r="AA777" s="212"/>
      <c r="AB777" s="212"/>
      <c r="AC777" s="241" t="n">
        <v>536</v>
      </c>
      <c r="AD777" s="243" t="s">
        <v>1117</v>
      </c>
      <c r="AE777" s="229"/>
      <c r="AF777" s="229"/>
      <c r="AG777" s="229"/>
      <c r="AH777" s="238"/>
      <c r="AI777" s="240"/>
      <c r="AJ777" s="229"/>
      <c r="AK777" s="231"/>
      <c r="AL777" s="229"/>
      <c r="AM777" s="229"/>
      <c r="AN777" s="229"/>
      <c r="AO777" s="229"/>
      <c r="AP777" s="229"/>
      <c r="AQ777" s="229"/>
      <c r="AR777" s="229"/>
      <c r="AS777" s="229"/>
      <c r="AT777" s="229"/>
      <c r="AU777" s="229"/>
      <c r="AV777" s="229"/>
      <c r="AW777" s="5"/>
      <c r="AX777" s="5"/>
      <c r="AY777" s="5"/>
      <c r="AZ777" s="5"/>
      <c r="BA777" s="5"/>
      <c r="BB777" s="5"/>
      <c r="BC777" s="5"/>
      <c r="BD777" s="5"/>
      <c r="BE777" s="5"/>
      <c r="BF777" s="5"/>
      <c r="BG777" s="5"/>
    </row>
    <row r="778" customFormat="false" ht="1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212"/>
      <c r="V778" s="212"/>
      <c r="W778" s="212"/>
      <c r="X778" s="212"/>
      <c r="Y778" s="212"/>
      <c r="Z778" s="212"/>
      <c r="AA778" s="212"/>
      <c r="AB778" s="212"/>
      <c r="AC778" s="241" t="n">
        <v>537</v>
      </c>
      <c r="AD778" s="243" t="s">
        <v>1118</v>
      </c>
      <c r="AE778" s="229"/>
      <c r="AF778" s="229"/>
      <c r="AG778" s="229"/>
      <c r="AH778" s="238"/>
      <c r="AI778" s="240"/>
      <c r="AJ778" s="229"/>
      <c r="AK778" s="231"/>
      <c r="AL778" s="229"/>
      <c r="AM778" s="229"/>
      <c r="AN778" s="229"/>
      <c r="AO778" s="229"/>
      <c r="AP778" s="229"/>
      <c r="AQ778" s="229"/>
      <c r="AR778" s="229"/>
      <c r="AS778" s="229"/>
      <c r="AT778" s="229"/>
      <c r="AU778" s="229"/>
      <c r="AV778" s="229"/>
      <c r="AW778" s="5"/>
      <c r="AX778" s="5"/>
      <c r="AY778" s="5"/>
      <c r="AZ778" s="5"/>
      <c r="BA778" s="5"/>
      <c r="BB778" s="5"/>
      <c r="BC778" s="5"/>
      <c r="BD778" s="5"/>
      <c r="BE778" s="5"/>
      <c r="BF778" s="5"/>
      <c r="BG778" s="5"/>
    </row>
    <row r="779" customFormat="false" ht="1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212"/>
      <c r="V779" s="212"/>
      <c r="W779" s="212"/>
      <c r="X779" s="212"/>
      <c r="Y779" s="212"/>
      <c r="Z779" s="212"/>
      <c r="AA779" s="212"/>
      <c r="AB779" s="212"/>
      <c r="AC779" s="241" t="n">
        <v>538</v>
      </c>
      <c r="AD779" s="243" t="s">
        <v>1119</v>
      </c>
      <c r="AE779" s="229"/>
      <c r="AF779" s="229"/>
      <c r="AG779" s="229"/>
      <c r="AH779" s="238"/>
      <c r="AI779" s="240"/>
      <c r="AJ779" s="229"/>
      <c r="AK779" s="231"/>
      <c r="AL779" s="229"/>
      <c r="AM779" s="229"/>
      <c r="AN779" s="229"/>
      <c r="AO779" s="229"/>
      <c r="AP779" s="229"/>
      <c r="AQ779" s="229"/>
      <c r="AR779" s="229"/>
      <c r="AS779" s="229"/>
      <c r="AT779" s="229"/>
      <c r="AU779" s="229"/>
      <c r="AV779" s="229"/>
      <c r="AW779" s="5"/>
      <c r="AX779" s="5"/>
      <c r="AY779" s="5"/>
      <c r="AZ779" s="5"/>
      <c r="BA779" s="5"/>
      <c r="BB779" s="5"/>
      <c r="BC779" s="5"/>
      <c r="BD779" s="5"/>
      <c r="BE779" s="5"/>
      <c r="BF779" s="5"/>
      <c r="BG779" s="5"/>
    </row>
    <row r="780" customFormat="false" ht="1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212"/>
      <c r="V780" s="212"/>
      <c r="W780" s="212"/>
      <c r="X780" s="212"/>
      <c r="Y780" s="212"/>
      <c r="Z780" s="212"/>
      <c r="AA780" s="212"/>
      <c r="AB780" s="212"/>
      <c r="AC780" s="241" t="n">
        <v>539</v>
      </c>
      <c r="AD780" s="243" t="s">
        <v>1120</v>
      </c>
      <c r="AE780" s="229"/>
      <c r="AF780" s="229"/>
      <c r="AG780" s="229"/>
      <c r="AH780" s="238"/>
      <c r="AI780" s="240"/>
      <c r="AJ780" s="229"/>
      <c r="AK780" s="231"/>
      <c r="AL780" s="229"/>
      <c r="AM780" s="229"/>
      <c r="AN780" s="229"/>
      <c r="AO780" s="229"/>
      <c r="AP780" s="229"/>
      <c r="AQ780" s="229"/>
      <c r="AR780" s="229"/>
      <c r="AS780" s="229"/>
      <c r="AT780" s="229"/>
      <c r="AU780" s="229"/>
      <c r="AV780" s="229"/>
      <c r="AW780" s="5"/>
      <c r="AX780" s="5"/>
      <c r="AY780" s="5"/>
      <c r="AZ780" s="5"/>
      <c r="BA780" s="5"/>
      <c r="BB780" s="5"/>
      <c r="BC780" s="5"/>
      <c r="BD780" s="5"/>
      <c r="BE780" s="5"/>
      <c r="BF780" s="5"/>
      <c r="BG780" s="5"/>
    </row>
    <row r="781" customFormat="false" ht="1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212"/>
      <c r="V781" s="212"/>
      <c r="W781" s="212"/>
      <c r="X781" s="212"/>
      <c r="Y781" s="212"/>
      <c r="Z781" s="212"/>
      <c r="AA781" s="212"/>
      <c r="AB781" s="212"/>
      <c r="AC781" s="241" t="n">
        <v>540</v>
      </c>
      <c r="AD781" s="243" t="s">
        <v>1121</v>
      </c>
      <c r="AE781" s="229"/>
      <c r="AF781" s="229"/>
      <c r="AG781" s="229"/>
      <c r="AH781" s="238"/>
      <c r="AI781" s="240"/>
      <c r="AJ781" s="229"/>
      <c r="AK781" s="231"/>
      <c r="AL781" s="229"/>
      <c r="AM781" s="229"/>
      <c r="AN781" s="229"/>
      <c r="AO781" s="229"/>
      <c r="AP781" s="229"/>
      <c r="AQ781" s="229"/>
      <c r="AR781" s="229"/>
      <c r="AS781" s="229"/>
      <c r="AT781" s="229"/>
      <c r="AU781" s="229"/>
      <c r="AV781" s="229"/>
      <c r="AW781" s="5"/>
      <c r="AX781" s="5"/>
      <c r="AY781" s="5"/>
      <c r="AZ781" s="5"/>
      <c r="BA781" s="5"/>
      <c r="BB781" s="5"/>
      <c r="BC781" s="5"/>
      <c r="BD781" s="5"/>
      <c r="BE781" s="5"/>
      <c r="BF781" s="5"/>
      <c r="BG781" s="5"/>
    </row>
    <row r="782" customFormat="false" ht="1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212"/>
      <c r="V782" s="212"/>
      <c r="W782" s="212"/>
      <c r="X782" s="212"/>
      <c r="Y782" s="212"/>
      <c r="Z782" s="212"/>
      <c r="AA782" s="212"/>
      <c r="AB782" s="212"/>
      <c r="AC782" s="241" t="n">
        <v>541</v>
      </c>
      <c r="AD782" s="243" t="s">
        <v>1122</v>
      </c>
      <c r="AE782" s="229"/>
      <c r="AF782" s="229"/>
      <c r="AG782" s="229"/>
      <c r="AH782" s="238"/>
      <c r="AI782" s="240"/>
      <c r="AJ782" s="229"/>
      <c r="AK782" s="231"/>
      <c r="AL782" s="229"/>
      <c r="AM782" s="229"/>
      <c r="AN782" s="229"/>
      <c r="AO782" s="229"/>
      <c r="AP782" s="229"/>
      <c r="AQ782" s="229"/>
      <c r="AR782" s="229"/>
      <c r="AS782" s="229"/>
      <c r="AT782" s="229"/>
      <c r="AU782" s="229"/>
      <c r="AV782" s="229"/>
      <c r="AW782" s="5"/>
      <c r="AX782" s="5"/>
      <c r="AY782" s="5"/>
      <c r="AZ782" s="5"/>
      <c r="BA782" s="5"/>
      <c r="BB782" s="5"/>
      <c r="BC782" s="5"/>
      <c r="BD782" s="5"/>
      <c r="BE782" s="5"/>
      <c r="BF782" s="5"/>
      <c r="BG782" s="5"/>
    </row>
    <row r="783" customFormat="false" ht="1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212"/>
      <c r="V783" s="212"/>
      <c r="W783" s="212"/>
      <c r="X783" s="212"/>
      <c r="Y783" s="212"/>
      <c r="Z783" s="212"/>
      <c r="AA783" s="212"/>
      <c r="AB783" s="212"/>
      <c r="AC783" s="241" t="n">
        <v>542</v>
      </c>
      <c r="AD783" s="243" t="s">
        <v>1123</v>
      </c>
      <c r="AE783" s="229"/>
      <c r="AF783" s="229"/>
      <c r="AG783" s="229"/>
      <c r="AH783" s="238"/>
      <c r="AI783" s="240"/>
      <c r="AJ783" s="229"/>
      <c r="AK783" s="231"/>
      <c r="AL783" s="229"/>
      <c r="AM783" s="229"/>
      <c r="AN783" s="229"/>
      <c r="AO783" s="229"/>
      <c r="AP783" s="229"/>
      <c r="AQ783" s="229"/>
      <c r="AR783" s="229"/>
      <c r="AS783" s="229"/>
      <c r="AT783" s="229"/>
      <c r="AU783" s="229"/>
      <c r="AV783" s="229"/>
      <c r="AW783" s="5"/>
      <c r="AX783" s="5"/>
      <c r="AY783" s="5"/>
      <c r="AZ783" s="5"/>
      <c r="BA783" s="5"/>
      <c r="BB783" s="5"/>
      <c r="BC783" s="5"/>
      <c r="BD783" s="5"/>
      <c r="BE783" s="5"/>
      <c r="BF783" s="5"/>
      <c r="BG783" s="5"/>
    </row>
    <row r="784" customFormat="false" ht="1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212"/>
      <c r="V784" s="212"/>
      <c r="W784" s="212"/>
      <c r="X784" s="212"/>
      <c r="Y784" s="212"/>
      <c r="Z784" s="212"/>
      <c r="AA784" s="212"/>
      <c r="AB784" s="212"/>
      <c r="AC784" s="241" t="n">
        <v>543</v>
      </c>
      <c r="AD784" s="243" t="s">
        <v>1124</v>
      </c>
      <c r="AE784" s="229"/>
      <c r="AF784" s="229"/>
      <c r="AG784" s="229"/>
      <c r="AH784" s="238"/>
      <c r="AI784" s="240"/>
      <c r="AJ784" s="229"/>
      <c r="AK784" s="231"/>
      <c r="AL784" s="229"/>
      <c r="AM784" s="229"/>
      <c r="AN784" s="229"/>
      <c r="AO784" s="229"/>
      <c r="AP784" s="229"/>
      <c r="AQ784" s="229"/>
      <c r="AR784" s="229"/>
      <c r="AS784" s="229"/>
      <c r="AT784" s="229"/>
      <c r="AU784" s="229"/>
      <c r="AV784" s="229"/>
      <c r="AW784" s="5"/>
      <c r="AX784" s="5"/>
      <c r="AY784" s="5"/>
      <c r="AZ784" s="5"/>
      <c r="BA784" s="5"/>
      <c r="BB784" s="5"/>
      <c r="BC784" s="5"/>
      <c r="BD784" s="5"/>
      <c r="BE784" s="5"/>
      <c r="BF784" s="5"/>
      <c r="BG784" s="5"/>
    </row>
    <row r="785" customFormat="false" ht="1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212"/>
      <c r="V785" s="212"/>
      <c r="W785" s="212"/>
      <c r="X785" s="212"/>
      <c r="Y785" s="212"/>
      <c r="Z785" s="212"/>
      <c r="AA785" s="212"/>
      <c r="AB785" s="212"/>
      <c r="AC785" s="241" t="n">
        <v>544</v>
      </c>
      <c r="AD785" s="243" t="s">
        <v>1125</v>
      </c>
      <c r="AE785" s="229"/>
      <c r="AF785" s="229"/>
      <c r="AG785" s="229"/>
      <c r="AH785" s="238"/>
      <c r="AI785" s="240"/>
      <c r="AJ785" s="229"/>
      <c r="AK785" s="231"/>
      <c r="AL785" s="229"/>
      <c r="AM785" s="229"/>
      <c r="AN785" s="229"/>
      <c r="AO785" s="229"/>
      <c r="AP785" s="229"/>
      <c r="AQ785" s="229"/>
      <c r="AR785" s="229"/>
      <c r="AS785" s="229"/>
      <c r="AT785" s="229"/>
      <c r="AU785" s="229"/>
      <c r="AV785" s="229"/>
      <c r="AW785" s="5"/>
      <c r="AX785" s="5"/>
      <c r="AY785" s="5"/>
      <c r="AZ785" s="5"/>
      <c r="BA785" s="5"/>
      <c r="BB785" s="5"/>
      <c r="BC785" s="5"/>
      <c r="BD785" s="5"/>
      <c r="BE785" s="5"/>
      <c r="BF785" s="5"/>
      <c r="BG785" s="5"/>
    </row>
    <row r="786" customFormat="false" ht="1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212"/>
      <c r="V786" s="212"/>
      <c r="W786" s="212"/>
      <c r="X786" s="212"/>
      <c r="Y786" s="212"/>
      <c r="Z786" s="212"/>
      <c r="AA786" s="212"/>
      <c r="AB786" s="212"/>
      <c r="AC786" s="241" t="n">
        <v>545</v>
      </c>
      <c r="AD786" s="243" t="s">
        <v>1126</v>
      </c>
      <c r="AE786" s="229"/>
      <c r="AF786" s="229"/>
      <c r="AG786" s="229"/>
      <c r="AH786" s="238"/>
      <c r="AI786" s="240"/>
      <c r="AJ786" s="229"/>
      <c r="AK786" s="231"/>
      <c r="AL786" s="229"/>
      <c r="AM786" s="229"/>
      <c r="AN786" s="229"/>
      <c r="AO786" s="229"/>
      <c r="AP786" s="229"/>
      <c r="AQ786" s="229"/>
      <c r="AR786" s="229"/>
      <c r="AS786" s="229"/>
      <c r="AT786" s="229"/>
      <c r="AU786" s="229"/>
      <c r="AV786" s="229"/>
      <c r="AW786" s="5"/>
      <c r="AX786" s="5"/>
      <c r="AY786" s="5"/>
      <c r="AZ786" s="5"/>
      <c r="BA786" s="5"/>
      <c r="BB786" s="5"/>
      <c r="BC786" s="5"/>
      <c r="BD786" s="5"/>
      <c r="BE786" s="5"/>
      <c r="BF786" s="5"/>
      <c r="BG786" s="5"/>
    </row>
    <row r="787" customFormat="false" ht="1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212"/>
      <c r="V787" s="212"/>
      <c r="W787" s="212"/>
      <c r="X787" s="212"/>
      <c r="Y787" s="212"/>
      <c r="Z787" s="212"/>
      <c r="AA787" s="212"/>
      <c r="AB787" s="212"/>
      <c r="AC787" s="241" t="n">
        <v>546</v>
      </c>
      <c r="AD787" s="243" t="s">
        <v>1127</v>
      </c>
      <c r="AE787" s="229"/>
      <c r="AF787" s="229"/>
      <c r="AG787" s="229"/>
      <c r="AH787" s="238"/>
      <c r="AI787" s="240"/>
      <c r="AJ787" s="229"/>
      <c r="AK787" s="231"/>
      <c r="AL787" s="229"/>
      <c r="AM787" s="229"/>
      <c r="AN787" s="229"/>
      <c r="AO787" s="229"/>
      <c r="AP787" s="229"/>
      <c r="AQ787" s="229"/>
      <c r="AR787" s="229"/>
      <c r="AS787" s="229"/>
      <c r="AT787" s="229"/>
      <c r="AU787" s="229"/>
      <c r="AV787" s="229"/>
      <c r="AW787" s="5"/>
      <c r="AX787" s="5"/>
      <c r="AY787" s="5"/>
      <c r="AZ787" s="5"/>
      <c r="BA787" s="5"/>
      <c r="BB787" s="5"/>
      <c r="BC787" s="5"/>
      <c r="BD787" s="5"/>
      <c r="BE787" s="5"/>
      <c r="BF787" s="5"/>
      <c r="BG787" s="5"/>
    </row>
    <row r="788" customFormat="false" ht="1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212"/>
      <c r="V788" s="212"/>
      <c r="W788" s="212"/>
      <c r="X788" s="212"/>
      <c r="Y788" s="212"/>
      <c r="Z788" s="212"/>
      <c r="AA788" s="212"/>
      <c r="AB788" s="212"/>
      <c r="AC788" s="241" t="n">
        <v>547</v>
      </c>
      <c r="AD788" s="243" t="s">
        <v>1128</v>
      </c>
      <c r="AE788" s="229"/>
      <c r="AF788" s="229"/>
      <c r="AG788" s="229"/>
      <c r="AH788" s="238"/>
      <c r="AI788" s="240"/>
      <c r="AJ788" s="229"/>
      <c r="AK788" s="231"/>
      <c r="AL788" s="229"/>
      <c r="AM788" s="229"/>
      <c r="AN788" s="229"/>
      <c r="AO788" s="229"/>
      <c r="AP788" s="229"/>
      <c r="AQ788" s="229"/>
      <c r="AR788" s="229"/>
      <c r="AS788" s="229"/>
      <c r="AT788" s="229"/>
      <c r="AU788" s="229"/>
      <c r="AV788" s="229"/>
      <c r="AW788" s="5"/>
      <c r="AX788" s="5"/>
      <c r="AY788" s="5"/>
      <c r="AZ788" s="5"/>
      <c r="BA788" s="5"/>
      <c r="BB788" s="5"/>
      <c r="BC788" s="5"/>
      <c r="BD788" s="5"/>
      <c r="BE788" s="5"/>
      <c r="BF788" s="5"/>
      <c r="BG788" s="5"/>
    </row>
    <row r="789" customFormat="false" ht="1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212"/>
      <c r="V789" s="212"/>
      <c r="W789" s="212"/>
      <c r="X789" s="212"/>
      <c r="Y789" s="212"/>
      <c r="Z789" s="212"/>
      <c r="AA789" s="212"/>
      <c r="AB789" s="212"/>
      <c r="AC789" s="241" t="n">
        <v>548</v>
      </c>
      <c r="AD789" s="243" t="s">
        <v>1129</v>
      </c>
      <c r="AE789" s="229"/>
      <c r="AF789" s="229"/>
      <c r="AG789" s="229"/>
      <c r="AH789" s="238"/>
      <c r="AI789" s="240"/>
      <c r="AJ789" s="229"/>
      <c r="AK789" s="231"/>
      <c r="AL789" s="229"/>
      <c r="AM789" s="229"/>
      <c r="AN789" s="229"/>
      <c r="AO789" s="229"/>
      <c r="AP789" s="229"/>
      <c r="AQ789" s="229"/>
      <c r="AR789" s="229"/>
      <c r="AS789" s="229"/>
      <c r="AT789" s="229"/>
      <c r="AU789" s="229"/>
      <c r="AV789" s="229"/>
      <c r="AW789" s="5"/>
      <c r="AX789" s="5"/>
      <c r="AY789" s="5"/>
      <c r="AZ789" s="5"/>
      <c r="BA789" s="5"/>
      <c r="BB789" s="5"/>
      <c r="BC789" s="5"/>
      <c r="BD789" s="5"/>
      <c r="BE789" s="5"/>
      <c r="BF789" s="5"/>
      <c r="BG789" s="5"/>
    </row>
    <row r="790" customFormat="false" ht="1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212"/>
      <c r="V790" s="212"/>
      <c r="W790" s="212"/>
      <c r="X790" s="212"/>
      <c r="Y790" s="212"/>
      <c r="Z790" s="212"/>
      <c r="AA790" s="212"/>
      <c r="AB790" s="212"/>
      <c r="AC790" s="241" t="n">
        <v>549</v>
      </c>
      <c r="AD790" s="243" t="s">
        <v>1130</v>
      </c>
      <c r="AE790" s="229"/>
      <c r="AF790" s="229"/>
      <c r="AG790" s="229"/>
      <c r="AH790" s="238"/>
      <c r="AI790" s="240"/>
      <c r="AJ790" s="229"/>
      <c r="AK790" s="231"/>
      <c r="AL790" s="229"/>
      <c r="AM790" s="229"/>
      <c r="AN790" s="229"/>
      <c r="AO790" s="229"/>
      <c r="AP790" s="229"/>
      <c r="AQ790" s="229"/>
      <c r="AR790" s="229"/>
      <c r="AS790" s="229"/>
      <c r="AT790" s="229"/>
      <c r="AU790" s="229"/>
      <c r="AV790" s="229"/>
      <c r="AW790" s="5"/>
      <c r="AX790" s="5"/>
      <c r="AY790" s="5"/>
      <c r="AZ790" s="5"/>
      <c r="BA790" s="5"/>
      <c r="BB790" s="5"/>
      <c r="BC790" s="5"/>
      <c r="BD790" s="5"/>
      <c r="BE790" s="5"/>
      <c r="BF790" s="5"/>
      <c r="BG790" s="5"/>
    </row>
    <row r="791" customFormat="false" ht="1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212"/>
      <c r="V791" s="212"/>
      <c r="W791" s="212"/>
      <c r="X791" s="212"/>
      <c r="Y791" s="212"/>
      <c r="Z791" s="212"/>
      <c r="AA791" s="212"/>
      <c r="AB791" s="212"/>
      <c r="AC791" s="241" t="n">
        <v>550</v>
      </c>
      <c r="AD791" s="243" t="s">
        <v>1131</v>
      </c>
      <c r="AE791" s="229"/>
      <c r="AF791" s="229"/>
      <c r="AG791" s="229"/>
      <c r="AH791" s="238"/>
      <c r="AI791" s="240"/>
      <c r="AJ791" s="229"/>
      <c r="AK791" s="231"/>
      <c r="AL791" s="229"/>
      <c r="AM791" s="229"/>
      <c r="AN791" s="229"/>
      <c r="AO791" s="229"/>
      <c r="AP791" s="229"/>
      <c r="AQ791" s="229"/>
      <c r="AR791" s="229"/>
      <c r="AS791" s="229"/>
      <c r="AT791" s="229"/>
      <c r="AU791" s="229"/>
      <c r="AV791" s="229"/>
      <c r="AW791" s="5"/>
      <c r="AX791" s="5"/>
      <c r="AY791" s="5"/>
      <c r="AZ791" s="5"/>
      <c r="BA791" s="5"/>
      <c r="BB791" s="5"/>
      <c r="BC791" s="5"/>
      <c r="BD791" s="5"/>
      <c r="BE791" s="5"/>
      <c r="BF791" s="5"/>
      <c r="BG791" s="5"/>
    </row>
    <row r="792" customFormat="false" ht="1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212"/>
      <c r="V792" s="212"/>
      <c r="W792" s="212"/>
      <c r="X792" s="212"/>
      <c r="Y792" s="212"/>
      <c r="Z792" s="212"/>
      <c r="AA792" s="212"/>
      <c r="AB792" s="212"/>
      <c r="AC792" s="241" t="n">
        <v>551</v>
      </c>
      <c r="AD792" s="243" t="s">
        <v>273</v>
      </c>
      <c r="AE792" s="229"/>
      <c r="AF792" s="229"/>
      <c r="AG792" s="229"/>
      <c r="AH792" s="238"/>
      <c r="AI792" s="240"/>
      <c r="AJ792" s="229"/>
      <c r="AK792" s="231"/>
      <c r="AL792" s="229"/>
      <c r="AM792" s="229"/>
      <c r="AN792" s="229"/>
      <c r="AO792" s="229"/>
      <c r="AP792" s="229"/>
      <c r="AQ792" s="229"/>
      <c r="AR792" s="229"/>
      <c r="AS792" s="229"/>
      <c r="AT792" s="229"/>
      <c r="AU792" s="229"/>
      <c r="AV792" s="229"/>
      <c r="AW792" s="5"/>
      <c r="AX792" s="5"/>
      <c r="AY792" s="5"/>
      <c r="AZ792" s="5"/>
      <c r="BA792" s="5"/>
      <c r="BB792" s="5"/>
      <c r="BC792" s="5"/>
      <c r="BD792" s="5"/>
      <c r="BE792" s="5"/>
      <c r="BF792" s="5"/>
      <c r="BG792" s="5"/>
    </row>
    <row r="793" customFormat="false" ht="1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212"/>
      <c r="V793" s="212"/>
      <c r="W793" s="212"/>
      <c r="X793" s="212"/>
      <c r="Y793" s="212"/>
      <c r="Z793" s="212"/>
      <c r="AA793" s="212"/>
      <c r="AB793" s="212"/>
      <c r="AC793" s="241" t="n">
        <v>552</v>
      </c>
      <c r="AD793" s="243" t="s">
        <v>1132</v>
      </c>
      <c r="AE793" s="229"/>
      <c r="AF793" s="229"/>
      <c r="AG793" s="229"/>
      <c r="AH793" s="238"/>
      <c r="AI793" s="240"/>
      <c r="AJ793" s="229"/>
      <c r="AK793" s="231"/>
      <c r="AL793" s="229"/>
      <c r="AM793" s="229"/>
      <c r="AN793" s="229"/>
      <c r="AO793" s="229"/>
      <c r="AP793" s="229"/>
      <c r="AQ793" s="229"/>
      <c r="AR793" s="229"/>
      <c r="AS793" s="229"/>
      <c r="AT793" s="229"/>
      <c r="AU793" s="229"/>
      <c r="AV793" s="229"/>
      <c r="AW793" s="5"/>
      <c r="AX793" s="5"/>
      <c r="AY793" s="5"/>
      <c r="AZ793" s="5"/>
      <c r="BA793" s="5"/>
      <c r="BB793" s="5"/>
      <c r="BC793" s="5"/>
      <c r="BD793" s="5"/>
      <c r="BE793" s="5"/>
      <c r="BF793" s="5"/>
      <c r="BG793" s="5"/>
    </row>
    <row r="794" customFormat="false" ht="1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212"/>
      <c r="V794" s="212"/>
      <c r="W794" s="212"/>
      <c r="X794" s="212"/>
      <c r="Y794" s="212"/>
      <c r="Z794" s="212"/>
      <c r="AA794" s="212"/>
      <c r="AB794" s="212"/>
      <c r="AC794" s="241" t="n">
        <v>553</v>
      </c>
      <c r="AD794" s="243" t="s">
        <v>1133</v>
      </c>
      <c r="AE794" s="229"/>
      <c r="AF794" s="229"/>
      <c r="AG794" s="229"/>
      <c r="AH794" s="238"/>
      <c r="AI794" s="240"/>
      <c r="AJ794" s="229"/>
      <c r="AK794" s="231"/>
      <c r="AL794" s="229"/>
      <c r="AM794" s="229"/>
      <c r="AN794" s="229"/>
      <c r="AO794" s="229"/>
      <c r="AP794" s="229"/>
      <c r="AQ794" s="229"/>
      <c r="AR794" s="229"/>
      <c r="AS794" s="229"/>
      <c r="AT794" s="229"/>
      <c r="AU794" s="229"/>
      <c r="AV794" s="229"/>
      <c r="AW794" s="5"/>
      <c r="AX794" s="5"/>
      <c r="AY794" s="5"/>
      <c r="AZ794" s="5"/>
      <c r="BA794" s="5"/>
      <c r="BB794" s="5"/>
      <c r="BC794" s="5"/>
      <c r="BD794" s="5"/>
      <c r="BE794" s="5"/>
      <c r="BF794" s="5"/>
      <c r="BG794" s="5"/>
    </row>
    <row r="795" customFormat="false" ht="1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212"/>
      <c r="V795" s="212"/>
      <c r="W795" s="212"/>
      <c r="X795" s="212"/>
      <c r="Y795" s="212"/>
      <c r="Z795" s="212"/>
      <c r="AA795" s="212"/>
      <c r="AB795" s="212"/>
      <c r="AC795" s="241" t="n">
        <v>554</v>
      </c>
      <c r="AD795" s="243" t="s">
        <v>1134</v>
      </c>
      <c r="AE795" s="229"/>
      <c r="AF795" s="229"/>
      <c r="AG795" s="229"/>
      <c r="AH795" s="238"/>
      <c r="AI795" s="240"/>
      <c r="AJ795" s="229"/>
      <c r="AK795" s="231"/>
      <c r="AL795" s="229"/>
      <c r="AM795" s="229"/>
      <c r="AN795" s="229"/>
      <c r="AO795" s="229"/>
      <c r="AP795" s="229"/>
      <c r="AQ795" s="229"/>
      <c r="AR795" s="229"/>
      <c r="AS795" s="229"/>
      <c r="AT795" s="229"/>
      <c r="AU795" s="229"/>
      <c r="AV795" s="229"/>
      <c r="AW795" s="5"/>
      <c r="AX795" s="5"/>
      <c r="AY795" s="5"/>
      <c r="AZ795" s="5"/>
      <c r="BA795" s="5"/>
      <c r="BB795" s="5"/>
      <c r="BC795" s="5"/>
      <c r="BD795" s="5"/>
      <c r="BE795" s="5"/>
      <c r="BF795" s="5"/>
      <c r="BG795" s="5"/>
    </row>
    <row r="796" customFormat="false" ht="1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212"/>
      <c r="V796" s="212"/>
      <c r="W796" s="212"/>
      <c r="X796" s="212"/>
      <c r="Y796" s="212"/>
      <c r="Z796" s="212"/>
      <c r="AA796" s="212"/>
      <c r="AB796" s="212"/>
      <c r="AC796" s="241" t="n">
        <v>555</v>
      </c>
      <c r="AD796" s="243" t="s">
        <v>1135</v>
      </c>
      <c r="AE796" s="229"/>
      <c r="AF796" s="229"/>
      <c r="AG796" s="229"/>
      <c r="AH796" s="238"/>
      <c r="AI796" s="240"/>
      <c r="AJ796" s="229"/>
      <c r="AK796" s="231"/>
      <c r="AL796" s="229"/>
      <c r="AM796" s="229"/>
      <c r="AN796" s="229"/>
      <c r="AO796" s="229"/>
      <c r="AP796" s="229"/>
      <c r="AQ796" s="229"/>
      <c r="AR796" s="229"/>
      <c r="AS796" s="229"/>
      <c r="AT796" s="229"/>
      <c r="AU796" s="229"/>
      <c r="AV796" s="229"/>
      <c r="AW796" s="5"/>
      <c r="AX796" s="5"/>
      <c r="AY796" s="5"/>
      <c r="AZ796" s="5"/>
      <c r="BA796" s="5"/>
      <c r="BB796" s="5"/>
      <c r="BC796" s="5"/>
      <c r="BD796" s="5"/>
      <c r="BE796" s="5"/>
      <c r="BF796" s="5"/>
      <c r="BG796" s="5"/>
    </row>
    <row r="797" customFormat="false" ht="1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212"/>
      <c r="V797" s="212"/>
      <c r="W797" s="212"/>
      <c r="X797" s="212"/>
      <c r="Y797" s="212"/>
      <c r="Z797" s="212"/>
      <c r="AA797" s="212"/>
      <c r="AB797" s="212"/>
      <c r="AC797" s="241" t="n">
        <v>556</v>
      </c>
      <c r="AD797" s="243" t="s">
        <v>1136</v>
      </c>
      <c r="AE797" s="229"/>
      <c r="AF797" s="229"/>
      <c r="AG797" s="229"/>
      <c r="AH797" s="238"/>
      <c r="AI797" s="240"/>
      <c r="AJ797" s="229"/>
      <c r="AK797" s="231"/>
      <c r="AL797" s="229"/>
      <c r="AM797" s="229"/>
      <c r="AN797" s="229"/>
      <c r="AO797" s="229"/>
      <c r="AP797" s="229"/>
      <c r="AQ797" s="229"/>
      <c r="AR797" s="229"/>
      <c r="AS797" s="229"/>
      <c r="AT797" s="229"/>
      <c r="AU797" s="229"/>
      <c r="AV797" s="229"/>
      <c r="AW797" s="5"/>
      <c r="AX797" s="5"/>
      <c r="AY797" s="5"/>
      <c r="AZ797" s="5"/>
      <c r="BA797" s="5"/>
      <c r="BB797" s="5"/>
      <c r="BC797" s="5"/>
      <c r="BD797" s="5"/>
      <c r="BE797" s="5"/>
      <c r="BF797" s="5"/>
      <c r="BG797" s="5"/>
    </row>
    <row r="798" customFormat="false" ht="1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212"/>
      <c r="V798" s="212"/>
      <c r="W798" s="212"/>
      <c r="X798" s="212"/>
      <c r="Y798" s="212"/>
      <c r="Z798" s="212"/>
      <c r="AA798" s="212"/>
      <c r="AB798" s="212"/>
      <c r="AC798" s="241" t="n">
        <v>557</v>
      </c>
      <c r="AD798" s="243" t="s">
        <v>1137</v>
      </c>
      <c r="AE798" s="229"/>
      <c r="AF798" s="229"/>
      <c r="AG798" s="229"/>
      <c r="AH798" s="238"/>
      <c r="AI798" s="240"/>
      <c r="AJ798" s="229"/>
      <c r="AK798" s="231"/>
      <c r="AL798" s="229"/>
      <c r="AM798" s="229"/>
      <c r="AN798" s="229"/>
      <c r="AO798" s="229"/>
      <c r="AP798" s="229"/>
      <c r="AQ798" s="229"/>
      <c r="AR798" s="229"/>
      <c r="AS798" s="229"/>
      <c r="AT798" s="229"/>
      <c r="AU798" s="229"/>
      <c r="AV798" s="229"/>
      <c r="AW798" s="5"/>
      <c r="AX798" s="5"/>
      <c r="AY798" s="5"/>
      <c r="AZ798" s="5"/>
      <c r="BA798" s="5"/>
      <c r="BB798" s="5"/>
      <c r="BC798" s="5"/>
      <c r="BD798" s="5"/>
      <c r="BE798" s="5"/>
      <c r="BF798" s="5"/>
      <c r="BG798" s="5"/>
    </row>
    <row r="799" customFormat="false" ht="1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212"/>
      <c r="V799" s="212"/>
      <c r="W799" s="212"/>
      <c r="X799" s="212"/>
      <c r="Y799" s="212"/>
      <c r="Z799" s="212"/>
      <c r="AA799" s="212"/>
      <c r="AB799" s="212"/>
      <c r="AC799" s="241" t="n">
        <v>558</v>
      </c>
      <c r="AD799" s="243" t="s">
        <v>1138</v>
      </c>
      <c r="AE799" s="229"/>
      <c r="AF799" s="229"/>
      <c r="AG799" s="229"/>
      <c r="AH799" s="238"/>
      <c r="AI799" s="240"/>
      <c r="AJ799" s="229"/>
      <c r="AK799" s="231"/>
      <c r="AL799" s="229"/>
      <c r="AM799" s="229"/>
      <c r="AN799" s="229"/>
      <c r="AO799" s="229"/>
      <c r="AP799" s="229"/>
      <c r="AQ799" s="229"/>
      <c r="AR799" s="229"/>
      <c r="AS799" s="229"/>
      <c r="AT799" s="229"/>
      <c r="AU799" s="229"/>
      <c r="AV799" s="229"/>
      <c r="AW799" s="5"/>
      <c r="AX799" s="5"/>
      <c r="AY799" s="5"/>
      <c r="AZ799" s="5"/>
      <c r="BA799" s="5"/>
      <c r="BB799" s="5"/>
      <c r="BC799" s="5"/>
      <c r="BD799" s="5"/>
      <c r="BE799" s="5"/>
      <c r="BF799" s="5"/>
      <c r="BG799" s="5"/>
    </row>
    <row r="800" customFormat="false" ht="1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212"/>
      <c r="V800" s="212"/>
      <c r="W800" s="212"/>
      <c r="X800" s="212"/>
      <c r="Y800" s="212"/>
      <c r="Z800" s="212"/>
      <c r="AA800" s="212"/>
      <c r="AB800" s="212"/>
      <c r="AC800" s="241" t="n">
        <v>559</v>
      </c>
      <c r="AD800" s="243" t="s">
        <v>1139</v>
      </c>
      <c r="AE800" s="229"/>
      <c r="AF800" s="229"/>
      <c r="AG800" s="229"/>
      <c r="AH800" s="238"/>
      <c r="AI800" s="240"/>
      <c r="AJ800" s="229"/>
      <c r="AK800" s="231"/>
      <c r="AL800" s="229"/>
      <c r="AM800" s="229"/>
      <c r="AN800" s="229"/>
      <c r="AO800" s="229"/>
      <c r="AP800" s="229"/>
      <c r="AQ800" s="229"/>
      <c r="AR800" s="229"/>
      <c r="AS800" s="229"/>
      <c r="AT800" s="229"/>
      <c r="AU800" s="229"/>
      <c r="AV800" s="229"/>
      <c r="AW800" s="5"/>
      <c r="AX800" s="5"/>
      <c r="AY800" s="5"/>
      <c r="AZ800" s="5"/>
      <c r="BA800" s="5"/>
      <c r="BB800" s="5"/>
      <c r="BC800" s="5"/>
      <c r="BD800" s="5"/>
      <c r="BE800" s="5"/>
      <c r="BF800" s="5"/>
      <c r="BG800" s="5"/>
    </row>
    <row r="801" customFormat="false" ht="1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212"/>
      <c r="V801" s="212"/>
      <c r="W801" s="212"/>
      <c r="X801" s="212"/>
      <c r="Y801" s="212"/>
      <c r="Z801" s="212"/>
      <c r="AA801" s="212"/>
      <c r="AB801" s="212"/>
      <c r="AC801" s="241" t="n">
        <v>560</v>
      </c>
      <c r="AD801" s="243" t="s">
        <v>1140</v>
      </c>
      <c r="AE801" s="229"/>
      <c r="AF801" s="229"/>
      <c r="AG801" s="229"/>
      <c r="AH801" s="238"/>
      <c r="AI801" s="240"/>
      <c r="AJ801" s="229"/>
      <c r="AK801" s="231"/>
      <c r="AL801" s="229"/>
      <c r="AM801" s="229"/>
      <c r="AN801" s="229"/>
      <c r="AO801" s="229"/>
      <c r="AP801" s="229"/>
      <c r="AQ801" s="229"/>
      <c r="AR801" s="229"/>
      <c r="AS801" s="229"/>
      <c r="AT801" s="229"/>
      <c r="AU801" s="229"/>
      <c r="AV801" s="229"/>
      <c r="AW801" s="5"/>
      <c r="AX801" s="5"/>
      <c r="AY801" s="5"/>
      <c r="AZ801" s="5"/>
      <c r="BA801" s="5"/>
      <c r="BB801" s="5"/>
      <c r="BC801" s="5"/>
      <c r="BD801" s="5"/>
      <c r="BE801" s="5"/>
      <c r="BF801" s="5"/>
      <c r="BG801" s="5"/>
    </row>
    <row r="802" customFormat="false" ht="1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212"/>
      <c r="V802" s="212"/>
      <c r="W802" s="212"/>
      <c r="X802" s="212"/>
      <c r="Y802" s="212"/>
      <c r="Z802" s="212"/>
      <c r="AA802" s="212"/>
      <c r="AB802" s="212"/>
      <c r="AC802" s="241" t="n">
        <v>561</v>
      </c>
      <c r="AD802" s="243" t="s">
        <v>1141</v>
      </c>
      <c r="AE802" s="229"/>
      <c r="AF802" s="229"/>
      <c r="AG802" s="229"/>
      <c r="AH802" s="238"/>
      <c r="AI802" s="240"/>
      <c r="AJ802" s="229"/>
      <c r="AK802" s="231"/>
      <c r="AL802" s="229"/>
      <c r="AM802" s="229"/>
      <c r="AN802" s="229"/>
      <c r="AO802" s="229"/>
      <c r="AP802" s="229"/>
      <c r="AQ802" s="229"/>
      <c r="AR802" s="229"/>
      <c r="AS802" s="229"/>
      <c r="AT802" s="229"/>
      <c r="AU802" s="229"/>
      <c r="AV802" s="229"/>
      <c r="AW802" s="5"/>
      <c r="AX802" s="5"/>
      <c r="AY802" s="5"/>
      <c r="AZ802" s="5"/>
      <c r="BA802" s="5"/>
      <c r="BB802" s="5"/>
      <c r="BC802" s="5"/>
      <c r="BD802" s="5"/>
      <c r="BE802" s="5"/>
      <c r="BF802" s="5"/>
      <c r="BG802" s="5"/>
    </row>
    <row r="803" customFormat="false" ht="1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212"/>
      <c r="V803" s="212"/>
      <c r="W803" s="212"/>
      <c r="X803" s="212"/>
      <c r="Y803" s="212"/>
      <c r="Z803" s="212"/>
      <c r="AA803" s="212"/>
      <c r="AB803" s="212"/>
      <c r="AC803" s="241" t="n">
        <v>562</v>
      </c>
      <c r="AD803" s="243" t="s">
        <v>1142</v>
      </c>
      <c r="AE803" s="229"/>
      <c r="AF803" s="229"/>
      <c r="AG803" s="229"/>
      <c r="AH803" s="238"/>
      <c r="AI803" s="240"/>
      <c r="AJ803" s="229"/>
      <c r="AK803" s="231"/>
      <c r="AL803" s="229"/>
      <c r="AM803" s="229"/>
      <c r="AN803" s="229"/>
      <c r="AO803" s="229"/>
      <c r="AP803" s="229"/>
      <c r="AQ803" s="229"/>
      <c r="AR803" s="229"/>
      <c r="AS803" s="229"/>
      <c r="AT803" s="229"/>
      <c r="AU803" s="229"/>
      <c r="AV803" s="229"/>
      <c r="AW803" s="5"/>
      <c r="AX803" s="5"/>
      <c r="AY803" s="5"/>
      <c r="AZ803" s="5"/>
      <c r="BA803" s="5"/>
      <c r="BB803" s="5"/>
      <c r="BC803" s="5"/>
      <c r="BD803" s="5"/>
      <c r="BE803" s="5"/>
      <c r="BF803" s="5"/>
      <c r="BG803" s="5"/>
    </row>
    <row r="804" customFormat="false" ht="1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212"/>
      <c r="V804" s="212"/>
      <c r="W804" s="212"/>
      <c r="X804" s="212"/>
      <c r="Y804" s="212"/>
      <c r="Z804" s="212"/>
      <c r="AA804" s="212"/>
      <c r="AB804" s="212"/>
      <c r="AC804" s="241" t="n">
        <v>563</v>
      </c>
      <c r="AD804" s="243" t="s">
        <v>1143</v>
      </c>
      <c r="AE804" s="229"/>
      <c r="AF804" s="229"/>
      <c r="AG804" s="229"/>
      <c r="AH804" s="238"/>
      <c r="AI804" s="240"/>
      <c r="AJ804" s="229"/>
      <c r="AK804" s="231"/>
      <c r="AL804" s="229"/>
      <c r="AM804" s="229"/>
      <c r="AN804" s="229"/>
      <c r="AO804" s="229"/>
      <c r="AP804" s="229"/>
      <c r="AQ804" s="229"/>
      <c r="AR804" s="229"/>
      <c r="AS804" s="229"/>
      <c r="AT804" s="229"/>
      <c r="AU804" s="229"/>
      <c r="AV804" s="229"/>
      <c r="AW804" s="5"/>
      <c r="AX804" s="5"/>
      <c r="AY804" s="5"/>
      <c r="AZ804" s="5"/>
      <c r="BA804" s="5"/>
      <c r="BB804" s="5"/>
      <c r="BC804" s="5"/>
      <c r="BD804" s="5"/>
      <c r="BE804" s="5"/>
      <c r="BF804" s="5"/>
      <c r="BG804" s="5"/>
    </row>
    <row r="805" customFormat="false" ht="1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212"/>
      <c r="V805" s="212"/>
      <c r="W805" s="212"/>
      <c r="X805" s="212"/>
      <c r="Y805" s="212"/>
      <c r="Z805" s="212"/>
      <c r="AA805" s="212"/>
      <c r="AB805" s="212"/>
      <c r="AC805" s="241" t="n">
        <v>564</v>
      </c>
      <c r="AD805" s="243" t="s">
        <v>1144</v>
      </c>
      <c r="AE805" s="229"/>
      <c r="AF805" s="229"/>
      <c r="AG805" s="229"/>
      <c r="AH805" s="238"/>
      <c r="AI805" s="240"/>
      <c r="AJ805" s="229"/>
      <c r="AK805" s="231"/>
      <c r="AL805" s="229"/>
      <c r="AM805" s="229"/>
      <c r="AN805" s="229"/>
      <c r="AO805" s="229"/>
      <c r="AP805" s="229"/>
      <c r="AQ805" s="229"/>
      <c r="AR805" s="229"/>
      <c r="AS805" s="229"/>
      <c r="AT805" s="229"/>
      <c r="AU805" s="229"/>
      <c r="AV805" s="229"/>
      <c r="AW805" s="5"/>
      <c r="AX805" s="5"/>
      <c r="AY805" s="5"/>
      <c r="AZ805" s="5"/>
      <c r="BA805" s="5"/>
      <c r="BB805" s="5"/>
      <c r="BC805" s="5"/>
      <c r="BD805" s="5"/>
      <c r="BE805" s="5"/>
      <c r="BF805" s="5"/>
      <c r="BG805" s="5"/>
    </row>
    <row r="806" customFormat="false" ht="1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212"/>
      <c r="V806" s="212"/>
      <c r="W806" s="212"/>
      <c r="X806" s="212"/>
      <c r="Y806" s="212"/>
      <c r="Z806" s="212"/>
      <c r="AA806" s="212"/>
      <c r="AB806" s="212"/>
      <c r="AC806" s="241" t="n">
        <v>565</v>
      </c>
      <c r="AD806" s="243" t="s">
        <v>1145</v>
      </c>
      <c r="AE806" s="229"/>
      <c r="AF806" s="229"/>
      <c r="AG806" s="229"/>
      <c r="AH806" s="238"/>
      <c r="AI806" s="240"/>
      <c r="AJ806" s="229"/>
      <c r="AK806" s="231"/>
      <c r="AL806" s="229"/>
      <c r="AM806" s="229"/>
      <c r="AN806" s="229"/>
      <c r="AO806" s="229"/>
      <c r="AP806" s="229"/>
      <c r="AQ806" s="229"/>
      <c r="AR806" s="229"/>
      <c r="AS806" s="229"/>
      <c r="AT806" s="229"/>
      <c r="AU806" s="229"/>
      <c r="AV806" s="229"/>
      <c r="AW806" s="5"/>
      <c r="AX806" s="5"/>
      <c r="AY806" s="5"/>
      <c r="AZ806" s="5"/>
      <c r="BA806" s="5"/>
      <c r="BB806" s="5"/>
      <c r="BC806" s="5"/>
      <c r="BD806" s="5"/>
      <c r="BE806" s="5"/>
      <c r="BF806" s="5"/>
      <c r="BG806" s="5"/>
    </row>
    <row r="807" customFormat="false" ht="1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212"/>
      <c r="V807" s="212"/>
      <c r="W807" s="212"/>
      <c r="X807" s="212"/>
      <c r="Y807" s="212"/>
      <c r="Z807" s="212"/>
      <c r="AA807" s="212"/>
      <c r="AB807" s="212"/>
      <c r="AC807" s="241" t="n">
        <v>566</v>
      </c>
      <c r="AD807" s="243" t="s">
        <v>1146</v>
      </c>
      <c r="AE807" s="229"/>
      <c r="AF807" s="229"/>
      <c r="AG807" s="229"/>
      <c r="AH807" s="238"/>
      <c r="AI807" s="240"/>
      <c r="AJ807" s="229"/>
      <c r="AK807" s="231"/>
      <c r="AL807" s="229"/>
      <c r="AM807" s="229"/>
      <c r="AN807" s="229"/>
      <c r="AO807" s="229"/>
      <c r="AP807" s="229"/>
      <c r="AQ807" s="229"/>
      <c r="AR807" s="229"/>
      <c r="AS807" s="229"/>
      <c r="AT807" s="229"/>
      <c r="AU807" s="229"/>
      <c r="AV807" s="229"/>
      <c r="AW807" s="5"/>
      <c r="AX807" s="5"/>
      <c r="AY807" s="5"/>
      <c r="AZ807" s="5"/>
      <c r="BA807" s="5"/>
      <c r="BB807" s="5"/>
      <c r="BC807" s="5"/>
      <c r="BD807" s="5"/>
      <c r="BE807" s="5"/>
      <c r="BF807" s="5"/>
      <c r="BG807" s="5"/>
    </row>
    <row r="808" customFormat="false" ht="1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212"/>
      <c r="V808" s="212"/>
      <c r="W808" s="212"/>
      <c r="X808" s="212"/>
      <c r="Y808" s="212"/>
      <c r="Z808" s="212"/>
      <c r="AA808" s="212"/>
      <c r="AB808" s="212"/>
      <c r="AC808" s="241" t="n">
        <v>567</v>
      </c>
      <c r="AD808" s="243" t="s">
        <v>1147</v>
      </c>
      <c r="AE808" s="229"/>
      <c r="AF808" s="229"/>
      <c r="AG808" s="229"/>
      <c r="AH808" s="238"/>
      <c r="AI808" s="240"/>
      <c r="AJ808" s="229"/>
      <c r="AK808" s="231"/>
      <c r="AL808" s="229"/>
      <c r="AM808" s="229"/>
      <c r="AN808" s="229"/>
      <c r="AO808" s="229"/>
      <c r="AP808" s="229"/>
      <c r="AQ808" s="229"/>
      <c r="AR808" s="229"/>
      <c r="AS808" s="229"/>
      <c r="AT808" s="229"/>
      <c r="AU808" s="229"/>
      <c r="AV808" s="229"/>
      <c r="AW808" s="5"/>
      <c r="AX808" s="5"/>
      <c r="AY808" s="5"/>
      <c r="AZ808" s="5"/>
      <c r="BA808" s="5"/>
      <c r="BB808" s="5"/>
      <c r="BC808" s="5"/>
      <c r="BD808" s="5"/>
      <c r="BE808" s="5"/>
      <c r="BF808" s="5"/>
      <c r="BG808" s="5"/>
    </row>
    <row r="809" customFormat="false" ht="1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212"/>
      <c r="V809" s="212"/>
      <c r="W809" s="212"/>
      <c r="X809" s="212"/>
      <c r="Y809" s="212"/>
      <c r="Z809" s="212"/>
      <c r="AA809" s="212"/>
      <c r="AB809" s="212"/>
      <c r="AC809" s="241" t="n">
        <v>568</v>
      </c>
      <c r="AD809" s="243" t="s">
        <v>1148</v>
      </c>
      <c r="AE809" s="229"/>
      <c r="AF809" s="229"/>
      <c r="AG809" s="229"/>
      <c r="AH809" s="238"/>
      <c r="AI809" s="240"/>
      <c r="AJ809" s="229"/>
      <c r="AK809" s="231"/>
      <c r="AL809" s="229"/>
      <c r="AM809" s="229"/>
      <c r="AN809" s="229"/>
      <c r="AO809" s="229"/>
      <c r="AP809" s="229"/>
      <c r="AQ809" s="229"/>
      <c r="AR809" s="229"/>
      <c r="AS809" s="229"/>
      <c r="AT809" s="229"/>
      <c r="AU809" s="229"/>
      <c r="AV809" s="229"/>
      <c r="AW809" s="5"/>
      <c r="AX809" s="5"/>
      <c r="AY809" s="5"/>
      <c r="AZ809" s="5"/>
      <c r="BA809" s="5"/>
      <c r="BB809" s="5"/>
      <c r="BC809" s="5"/>
      <c r="BD809" s="5"/>
      <c r="BE809" s="5"/>
      <c r="BF809" s="5"/>
      <c r="BG809" s="5"/>
    </row>
    <row r="810" customFormat="false" ht="1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212"/>
      <c r="V810" s="212"/>
      <c r="W810" s="212"/>
      <c r="X810" s="212"/>
      <c r="Y810" s="212"/>
      <c r="Z810" s="212"/>
      <c r="AA810" s="212"/>
      <c r="AB810" s="212"/>
      <c r="AC810" s="241" t="n">
        <v>569</v>
      </c>
      <c r="AD810" s="243" t="s">
        <v>1149</v>
      </c>
      <c r="AE810" s="229"/>
      <c r="AF810" s="229"/>
      <c r="AG810" s="229"/>
      <c r="AH810" s="238"/>
      <c r="AI810" s="240"/>
      <c r="AJ810" s="229"/>
      <c r="AK810" s="231"/>
      <c r="AL810" s="229"/>
      <c r="AM810" s="229"/>
      <c r="AN810" s="229"/>
      <c r="AO810" s="229"/>
      <c r="AP810" s="229"/>
      <c r="AQ810" s="229"/>
      <c r="AR810" s="229"/>
      <c r="AS810" s="229"/>
      <c r="AT810" s="229"/>
      <c r="AU810" s="229"/>
      <c r="AV810" s="229"/>
      <c r="AW810" s="5"/>
      <c r="AX810" s="5"/>
      <c r="AY810" s="5"/>
      <c r="AZ810" s="5"/>
      <c r="BA810" s="5"/>
      <c r="BB810" s="5"/>
      <c r="BC810" s="5"/>
      <c r="BD810" s="5"/>
      <c r="BE810" s="5"/>
      <c r="BF810" s="5"/>
      <c r="BG810" s="5"/>
    </row>
    <row r="811" customFormat="false" ht="1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212"/>
      <c r="V811" s="212"/>
      <c r="W811" s="212"/>
      <c r="X811" s="212"/>
      <c r="Y811" s="212"/>
      <c r="Z811" s="212"/>
      <c r="AA811" s="212"/>
      <c r="AB811" s="212"/>
      <c r="AC811" s="241" t="n">
        <v>570</v>
      </c>
      <c r="AD811" s="243" t="s">
        <v>1150</v>
      </c>
      <c r="AE811" s="229"/>
      <c r="AF811" s="229"/>
      <c r="AG811" s="229"/>
      <c r="AH811" s="238"/>
      <c r="AI811" s="240"/>
      <c r="AJ811" s="229"/>
      <c r="AK811" s="231"/>
      <c r="AL811" s="229"/>
      <c r="AM811" s="229"/>
      <c r="AN811" s="229"/>
      <c r="AO811" s="229"/>
      <c r="AP811" s="229"/>
      <c r="AQ811" s="229"/>
      <c r="AR811" s="229"/>
      <c r="AS811" s="229"/>
      <c r="AT811" s="229"/>
      <c r="AU811" s="229"/>
      <c r="AV811" s="229"/>
      <c r="AW811" s="5"/>
      <c r="AX811" s="5"/>
      <c r="AY811" s="5"/>
      <c r="AZ811" s="5"/>
      <c r="BA811" s="5"/>
      <c r="BB811" s="5"/>
      <c r="BC811" s="5"/>
      <c r="BD811" s="5"/>
      <c r="BE811" s="5"/>
      <c r="BF811" s="5"/>
      <c r="BG811" s="5"/>
    </row>
    <row r="812" customFormat="false" ht="1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212"/>
      <c r="V812" s="212"/>
      <c r="W812" s="212"/>
      <c r="X812" s="212"/>
      <c r="Y812" s="212"/>
      <c r="Z812" s="212"/>
      <c r="AA812" s="212"/>
      <c r="AB812" s="212"/>
      <c r="AC812" s="241" t="n">
        <v>571</v>
      </c>
      <c r="AD812" s="243" t="s">
        <v>1151</v>
      </c>
      <c r="AE812" s="229"/>
      <c r="AF812" s="229"/>
      <c r="AG812" s="229"/>
      <c r="AH812" s="238"/>
      <c r="AI812" s="240"/>
      <c r="AJ812" s="229"/>
      <c r="AK812" s="231"/>
      <c r="AL812" s="229"/>
      <c r="AM812" s="229"/>
      <c r="AN812" s="229"/>
      <c r="AO812" s="229"/>
      <c r="AP812" s="229"/>
      <c r="AQ812" s="229"/>
      <c r="AR812" s="229"/>
      <c r="AS812" s="229"/>
      <c r="AT812" s="229"/>
      <c r="AU812" s="229"/>
      <c r="AV812" s="229"/>
      <c r="AW812" s="5"/>
      <c r="AX812" s="5"/>
      <c r="AY812" s="5"/>
      <c r="AZ812" s="5"/>
      <c r="BA812" s="5"/>
      <c r="BB812" s="5"/>
      <c r="BC812" s="5"/>
      <c r="BD812" s="5"/>
      <c r="BE812" s="5"/>
      <c r="BF812" s="5"/>
      <c r="BG812" s="5"/>
    </row>
    <row r="813" customFormat="false" ht="1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212"/>
      <c r="V813" s="212"/>
      <c r="W813" s="212"/>
      <c r="X813" s="212"/>
      <c r="Y813" s="212"/>
      <c r="Z813" s="212"/>
      <c r="AA813" s="212"/>
      <c r="AB813" s="212"/>
      <c r="AC813" s="241" t="n">
        <v>572</v>
      </c>
      <c r="AD813" s="243" t="s">
        <v>1152</v>
      </c>
      <c r="AE813" s="229"/>
      <c r="AF813" s="229"/>
      <c r="AG813" s="229"/>
      <c r="AH813" s="238"/>
      <c r="AI813" s="240"/>
      <c r="AJ813" s="229"/>
      <c r="AK813" s="231"/>
      <c r="AL813" s="229"/>
      <c r="AM813" s="229"/>
      <c r="AN813" s="229"/>
      <c r="AO813" s="229"/>
      <c r="AP813" s="229"/>
      <c r="AQ813" s="229"/>
      <c r="AR813" s="229"/>
      <c r="AS813" s="229"/>
      <c r="AT813" s="229"/>
      <c r="AU813" s="229"/>
      <c r="AV813" s="229"/>
      <c r="AW813" s="5"/>
      <c r="AX813" s="5"/>
      <c r="AY813" s="5"/>
      <c r="AZ813" s="5"/>
      <c r="BA813" s="5"/>
      <c r="BB813" s="5"/>
      <c r="BC813" s="5"/>
      <c r="BD813" s="5"/>
      <c r="BE813" s="5"/>
      <c r="BF813" s="5"/>
      <c r="BG813" s="5"/>
    </row>
    <row r="814" customFormat="false" ht="1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212"/>
      <c r="V814" s="212"/>
      <c r="W814" s="212"/>
      <c r="X814" s="212"/>
      <c r="Y814" s="212"/>
      <c r="Z814" s="212"/>
      <c r="AA814" s="212"/>
      <c r="AB814" s="212"/>
      <c r="AC814" s="241" t="n">
        <v>573</v>
      </c>
      <c r="AD814" s="243" t="s">
        <v>1153</v>
      </c>
      <c r="AE814" s="229"/>
      <c r="AF814" s="229"/>
      <c r="AG814" s="229"/>
      <c r="AH814" s="238"/>
      <c r="AI814" s="240"/>
      <c r="AJ814" s="229"/>
      <c r="AK814" s="231"/>
      <c r="AL814" s="229"/>
      <c r="AM814" s="229"/>
      <c r="AN814" s="229"/>
      <c r="AO814" s="229"/>
      <c r="AP814" s="229"/>
      <c r="AQ814" s="229"/>
      <c r="AR814" s="229"/>
      <c r="AS814" s="229"/>
      <c r="AT814" s="229"/>
      <c r="AU814" s="229"/>
      <c r="AV814" s="229"/>
      <c r="AW814" s="5"/>
      <c r="AX814" s="5"/>
      <c r="AY814" s="5"/>
      <c r="AZ814" s="5"/>
      <c r="BA814" s="5"/>
      <c r="BB814" s="5"/>
      <c r="BC814" s="5"/>
      <c r="BD814" s="5"/>
      <c r="BE814" s="5"/>
      <c r="BF814" s="5"/>
      <c r="BG814" s="5"/>
    </row>
    <row r="815" customFormat="false" ht="1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212"/>
      <c r="V815" s="212"/>
      <c r="W815" s="212"/>
      <c r="X815" s="212"/>
      <c r="Y815" s="212"/>
      <c r="Z815" s="212"/>
      <c r="AA815" s="212"/>
      <c r="AB815" s="212"/>
      <c r="AC815" s="241" t="n">
        <v>574</v>
      </c>
      <c r="AD815" s="243" t="s">
        <v>1154</v>
      </c>
      <c r="AE815" s="229"/>
      <c r="AF815" s="229"/>
      <c r="AG815" s="229"/>
      <c r="AH815" s="238"/>
      <c r="AI815" s="240"/>
      <c r="AJ815" s="229"/>
      <c r="AK815" s="231"/>
      <c r="AL815" s="229"/>
      <c r="AM815" s="229"/>
      <c r="AN815" s="229"/>
      <c r="AO815" s="229"/>
      <c r="AP815" s="229"/>
      <c r="AQ815" s="229"/>
      <c r="AR815" s="229"/>
      <c r="AS815" s="229"/>
      <c r="AT815" s="229"/>
      <c r="AU815" s="229"/>
      <c r="AV815" s="229"/>
      <c r="AW815" s="5"/>
      <c r="AX815" s="5"/>
      <c r="AY815" s="5"/>
      <c r="AZ815" s="5"/>
      <c r="BA815" s="5"/>
      <c r="BB815" s="5"/>
      <c r="BC815" s="5"/>
      <c r="BD815" s="5"/>
      <c r="BE815" s="5"/>
      <c r="BF815" s="5"/>
      <c r="BG815" s="5"/>
    </row>
    <row r="816" customFormat="false" ht="1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212"/>
      <c r="V816" s="212"/>
      <c r="W816" s="212"/>
      <c r="X816" s="212"/>
      <c r="Y816" s="212"/>
      <c r="Z816" s="212"/>
      <c r="AA816" s="212"/>
      <c r="AB816" s="212"/>
      <c r="AC816" s="241" t="n">
        <v>575</v>
      </c>
      <c r="AD816" s="243" t="s">
        <v>1155</v>
      </c>
      <c r="AE816" s="229"/>
      <c r="AF816" s="229"/>
      <c r="AG816" s="229"/>
      <c r="AH816" s="238"/>
      <c r="AI816" s="240"/>
      <c r="AJ816" s="229"/>
      <c r="AK816" s="231"/>
      <c r="AL816" s="229"/>
      <c r="AM816" s="229"/>
      <c r="AN816" s="229"/>
      <c r="AO816" s="229"/>
      <c r="AP816" s="229"/>
      <c r="AQ816" s="229"/>
      <c r="AR816" s="229"/>
      <c r="AS816" s="229"/>
      <c r="AT816" s="229"/>
      <c r="AU816" s="229"/>
      <c r="AV816" s="229"/>
      <c r="AW816" s="5"/>
      <c r="AX816" s="5"/>
      <c r="AY816" s="5"/>
      <c r="AZ816" s="5"/>
      <c r="BA816" s="5"/>
      <c r="BB816" s="5"/>
      <c r="BC816" s="5"/>
      <c r="BD816" s="5"/>
      <c r="BE816" s="5"/>
      <c r="BF816" s="5"/>
      <c r="BG816" s="5"/>
    </row>
    <row r="817" customFormat="false" ht="1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212"/>
      <c r="V817" s="212"/>
      <c r="W817" s="212"/>
      <c r="X817" s="212"/>
      <c r="Y817" s="212"/>
      <c r="Z817" s="212"/>
      <c r="AA817" s="212"/>
      <c r="AB817" s="212"/>
      <c r="AC817" s="241" t="n">
        <v>576</v>
      </c>
      <c r="AD817" s="243" t="s">
        <v>1156</v>
      </c>
      <c r="AE817" s="229"/>
      <c r="AF817" s="229"/>
      <c r="AG817" s="229"/>
      <c r="AH817" s="238"/>
      <c r="AI817" s="240"/>
      <c r="AJ817" s="229"/>
      <c r="AK817" s="231"/>
      <c r="AL817" s="229"/>
      <c r="AM817" s="229"/>
      <c r="AN817" s="229"/>
      <c r="AO817" s="229"/>
      <c r="AP817" s="229"/>
      <c r="AQ817" s="229"/>
      <c r="AR817" s="229"/>
      <c r="AS817" s="229"/>
      <c r="AT817" s="229"/>
      <c r="AU817" s="229"/>
      <c r="AV817" s="229"/>
      <c r="AW817" s="5"/>
      <c r="AX817" s="5"/>
      <c r="AY817" s="5"/>
      <c r="AZ817" s="5"/>
      <c r="BA817" s="5"/>
      <c r="BB817" s="5"/>
      <c r="BC817" s="5"/>
      <c r="BD817" s="5"/>
      <c r="BE817" s="5"/>
      <c r="BF817" s="5"/>
      <c r="BG817" s="5"/>
    </row>
    <row r="818" customFormat="false" ht="1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212"/>
      <c r="V818" s="212"/>
      <c r="W818" s="212"/>
      <c r="X818" s="212"/>
      <c r="Y818" s="212"/>
      <c r="Z818" s="212"/>
      <c r="AA818" s="212"/>
      <c r="AB818" s="212"/>
      <c r="AC818" s="241" t="n">
        <v>577</v>
      </c>
      <c r="AD818" s="243" t="s">
        <v>1157</v>
      </c>
      <c r="AE818" s="229"/>
      <c r="AF818" s="229"/>
      <c r="AG818" s="229"/>
      <c r="AH818" s="238"/>
      <c r="AI818" s="240"/>
      <c r="AJ818" s="229"/>
      <c r="AK818" s="231"/>
      <c r="AL818" s="229"/>
      <c r="AM818" s="229"/>
      <c r="AN818" s="229"/>
      <c r="AO818" s="229"/>
      <c r="AP818" s="229"/>
      <c r="AQ818" s="229"/>
      <c r="AR818" s="229"/>
      <c r="AS818" s="229"/>
      <c r="AT818" s="229"/>
      <c r="AU818" s="229"/>
      <c r="AV818" s="229"/>
      <c r="AW818" s="5"/>
      <c r="AX818" s="5"/>
      <c r="AY818" s="5"/>
      <c r="AZ818" s="5"/>
      <c r="BA818" s="5"/>
      <c r="BB818" s="5"/>
      <c r="BC818" s="5"/>
      <c r="BD818" s="5"/>
      <c r="BE818" s="5"/>
      <c r="BF818" s="5"/>
      <c r="BG818" s="5"/>
    </row>
    <row r="819" customFormat="false" ht="1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212"/>
      <c r="V819" s="212"/>
      <c r="W819" s="212"/>
      <c r="X819" s="212"/>
      <c r="Y819" s="212"/>
      <c r="Z819" s="212"/>
      <c r="AA819" s="212"/>
      <c r="AB819" s="212"/>
      <c r="AC819" s="241" t="n">
        <v>578</v>
      </c>
      <c r="AD819" s="243" t="s">
        <v>1158</v>
      </c>
      <c r="AE819" s="229"/>
      <c r="AF819" s="229"/>
      <c r="AG819" s="229"/>
      <c r="AH819" s="238"/>
      <c r="AI819" s="240"/>
      <c r="AJ819" s="229"/>
      <c r="AK819" s="231"/>
      <c r="AL819" s="229"/>
      <c r="AM819" s="229"/>
      <c r="AN819" s="229"/>
      <c r="AO819" s="229"/>
      <c r="AP819" s="229"/>
      <c r="AQ819" s="229"/>
      <c r="AR819" s="229"/>
      <c r="AS819" s="229"/>
      <c r="AT819" s="229"/>
      <c r="AU819" s="229"/>
      <c r="AV819" s="229"/>
      <c r="AW819" s="5"/>
      <c r="AX819" s="5"/>
      <c r="AY819" s="5"/>
      <c r="AZ819" s="5"/>
      <c r="BA819" s="5"/>
      <c r="BB819" s="5"/>
      <c r="BC819" s="5"/>
      <c r="BD819" s="5"/>
      <c r="BE819" s="5"/>
      <c r="BF819" s="5"/>
      <c r="BG819" s="5"/>
    </row>
    <row r="820" customFormat="false" ht="1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212"/>
      <c r="V820" s="212"/>
      <c r="W820" s="212"/>
      <c r="X820" s="212"/>
      <c r="Y820" s="212"/>
      <c r="Z820" s="212"/>
      <c r="AA820" s="212"/>
      <c r="AB820" s="212"/>
      <c r="AC820" s="241" t="n">
        <v>579</v>
      </c>
      <c r="AD820" s="243" t="s">
        <v>1159</v>
      </c>
      <c r="AE820" s="229"/>
      <c r="AF820" s="229"/>
      <c r="AG820" s="229"/>
      <c r="AH820" s="238"/>
      <c r="AI820" s="240"/>
      <c r="AJ820" s="229"/>
      <c r="AK820" s="231"/>
      <c r="AL820" s="229"/>
      <c r="AM820" s="229"/>
      <c r="AN820" s="229"/>
      <c r="AO820" s="229"/>
      <c r="AP820" s="229"/>
      <c r="AQ820" s="229"/>
      <c r="AR820" s="229"/>
      <c r="AS820" s="229"/>
      <c r="AT820" s="229"/>
      <c r="AU820" s="229"/>
      <c r="AV820" s="229"/>
      <c r="AW820" s="5"/>
      <c r="AX820" s="5"/>
      <c r="AY820" s="5"/>
      <c r="AZ820" s="5"/>
      <c r="BA820" s="5"/>
      <c r="BB820" s="5"/>
      <c r="BC820" s="5"/>
      <c r="BD820" s="5"/>
      <c r="BE820" s="5"/>
      <c r="BF820" s="5"/>
      <c r="BG820" s="5"/>
    </row>
    <row r="821" customFormat="false" ht="1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212"/>
      <c r="V821" s="212"/>
      <c r="W821" s="212"/>
      <c r="X821" s="212"/>
      <c r="Y821" s="212"/>
      <c r="Z821" s="212"/>
      <c r="AA821" s="212"/>
      <c r="AB821" s="212"/>
      <c r="AC821" s="241" t="n">
        <v>580</v>
      </c>
      <c r="AD821" s="243" t="s">
        <v>1160</v>
      </c>
      <c r="AE821" s="229"/>
      <c r="AF821" s="229"/>
      <c r="AG821" s="229"/>
      <c r="AH821" s="238"/>
      <c r="AI821" s="240"/>
      <c r="AJ821" s="229"/>
      <c r="AK821" s="231"/>
      <c r="AL821" s="229"/>
      <c r="AM821" s="229"/>
      <c r="AN821" s="229"/>
      <c r="AO821" s="229"/>
      <c r="AP821" s="229"/>
      <c r="AQ821" s="229"/>
      <c r="AR821" s="229"/>
      <c r="AS821" s="229"/>
      <c r="AT821" s="229"/>
      <c r="AU821" s="229"/>
      <c r="AV821" s="229"/>
      <c r="AW821" s="5"/>
      <c r="AX821" s="5"/>
      <c r="AY821" s="5"/>
      <c r="AZ821" s="5"/>
      <c r="BA821" s="5"/>
      <c r="BB821" s="5"/>
      <c r="BC821" s="5"/>
      <c r="BD821" s="5"/>
      <c r="BE821" s="5"/>
      <c r="BF821" s="5"/>
      <c r="BG821" s="5"/>
    </row>
    <row r="822" customFormat="false" ht="1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212"/>
      <c r="V822" s="212"/>
      <c r="W822" s="212"/>
      <c r="X822" s="212"/>
      <c r="Y822" s="212"/>
      <c r="Z822" s="212"/>
      <c r="AA822" s="212"/>
      <c r="AB822" s="212"/>
      <c r="AC822" s="241" t="n">
        <v>581</v>
      </c>
      <c r="AD822" s="243" t="s">
        <v>1161</v>
      </c>
      <c r="AE822" s="229"/>
      <c r="AF822" s="229"/>
      <c r="AG822" s="229"/>
      <c r="AH822" s="238"/>
      <c r="AI822" s="240"/>
      <c r="AJ822" s="229"/>
      <c r="AK822" s="231"/>
      <c r="AL822" s="229"/>
      <c r="AM822" s="229"/>
      <c r="AN822" s="229"/>
      <c r="AO822" s="229"/>
      <c r="AP822" s="229"/>
      <c r="AQ822" s="229"/>
      <c r="AR822" s="229"/>
      <c r="AS822" s="229"/>
      <c r="AT822" s="229"/>
      <c r="AU822" s="229"/>
      <c r="AV822" s="229"/>
      <c r="AW822" s="5"/>
      <c r="AX822" s="5"/>
      <c r="AY822" s="5"/>
      <c r="AZ822" s="5"/>
      <c r="BA822" s="5"/>
      <c r="BB822" s="5"/>
      <c r="BC822" s="5"/>
      <c r="BD822" s="5"/>
      <c r="BE822" s="5"/>
      <c r="BF822" s="5"/>
      <c r="BG822" s="5"/>
    </row>
    <row r="823" customFormat="false" ht="1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212"/>
      <c r="V823" s="212"/>
      <c r="W823" s="212"/>
      <c r="X823" s="212"/>
      <c r="Y823" s="212"/>
      <c r="Z823" s="212"/>
      <c r="AA823" s="212"/>
      <c r="AB823" s="212"/>
      <c r="AC823" s="241" t="n">
        <v>582</v>
      </c>
      <c r="AD823" s="243" t="s">
        <v>1162</v>
      </c>
      <c r="AE823" s="229"/>
      <c r="AF823" s="229"/>
      <c r="AG823" s="229"/>
      <c r="AH823" s="238"/>
      <c r="AI823" s="240"/>
      <c r="AJ823" s="229"/>
      <c r="AK823" s="231"/>
      <c r="AL823" s="229"/>
      <c r="AM823" s="229"/>
      <c r="AN823" s="229"/>
      <c r="AO823" s="229"/>
      <c r="AP823" s="229"/>
      <c r="AQ823" s="229"/>
      <c r="AR823" s="229"/>
      <c r="AS823" s="229"/>
      <c r="AT823" s="229"/>
      <c r="AU823" s="229"/>
      <c r="AV823" s="229"/>
      <c r="AW823" s="5"/>
      <c r="AX823" s="5"/>
      <c r="AY823" s="5"/>
      <c r="AZ823" s="5"/>
      <c r="BA823" s="5"/>
      <c r="BB823" s="5"/>
      <c r="BC823" s="5"/>
      <c r="BD823" s="5"/>
      <c r="BE823" s="5"/>
      <c r="BF823" s="5"/>
      <c r="BG823" s="5"/>
    </row>
    <row r="824" customFormat="false" ht="1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212"/>
      <c r="V824" s="212"/>
      <c r="W824" s="212"/>
      <c r="X824" s="212"/>
      <c r="Y824" s="212"/>
      <c r="Z824" s="212"/>
      <c r="AA824" s="212"/>
      <c r="AB824" s="212"/>
      <c r="AC824" s="241" t="n">
        <v>583</v>
      </c>
      <c r="AD824" s="243" t="s">
        <v>1163</v>
      </c>
      <c r="AE824" s="229"/>
      <c r="AF824" s="229"/>
      <c r="AG824" s="229"/>
      <c r="AH824" s="238"/>
      <c r="AI824" s="240"/>
      <c r="AJ824" s="229"/>
      <c r="AK824" s="231"/>
      <c r="AL824" s="229"/>
      <c r="AM824" s="229"/>
      <c r="AN824" s="229"/>
      <c r="AO824" s="229"/>
      <c r="AP824" s="229"/>
      <c r="AQ824" s="229"/>
      <c r="AR824" s="229"/>
      <c r="AS824" s="229"/>
      <c r="AT824" s="229"/>
      <c r="AU824" s="229"/>
      <c r="AV824" s="229"/>
      <c r="AW824" s="5"/>
      <c r="AX824" s="5"/>
      <c r="AY824" s="5"/>
      <c r="AZ824" s="5"/>
      <c r="BA824" s="5"/>
      <c r="BB824" s="5"/>
      <c r="BC824" s="5"/>
      <c r="BD824" s="5"/>
      <c r="BE824" s="5"/>
      <c r="BF824" s="5"/>
      <c r="BG824" s="5"/>
    </row>
    <row r="825" customFormat="false" ht="1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212"/>
      <c r="V825" s="212"/>
      <c r="W825" s="212"/>
      <c r="X825" s="212"/>
      <c r="Y825" s="212"/>
      <c r="Z825" s="212"/>
      <c r="AA825" s="212"/>
      <c r="AB825" s="212"/>
      <c r="AC825" s="241" t="n">
        <v>584</v>
      </c>
      <c r="AD825" s="243" t="s">
        <v>1164</v>
      </c>
      <c r="AE825" s="229"/>
      <c r="AF825" s="229"/>
      <c r="AG825" s="229"/>
      <c r="AH825" s="238"/>
      <c r="AI825" s="240"/>
      <c r="AJ825" s="229"/>
      <c r="AK825" s="231"/>
      <c r="AL825" s="229"/>
      <c r="AM825" s="229"/>
      <c r="AN825" s="229"/>
      <c r="AO825" s="229"/>
      <c r="AP825" s="229"/>
      <c r="AQ825" s="229"/>
      <c r="AR825" s="229"/>
      <c r="AS825" s="229"/>
      <c r="AT825" s="229"/>
      <c r="AU825" s="229"/>
      <c r="AV825" s="229"/>
      <c r="AW825" s="5"/>
      <c r="AX825" s="5"/>
      <c r="AY825" s="5"/>
      <c r="AZ825" s="5"/>
      <c r="BA825" s="5"/>
      <c r="BB825" s="5"/>
      <c r="BC825" s="5"/>
      <c r="BD825" s="5"/>
      <c r="BE825" s="5"/>
      <c r="BF825" s="5"/>
      <c r="BG825" s="5"/>
    </row>
    <row r="826" customFormat="false" ht="1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212"/>
      <c r="V826" s="212"/>
      <c r="W826" s="212"/>
      <c r="X826" s="212"/>
      <c r="Y826" s="212"/>
      <c r="Z826" s="212"/>
      <c r="AA826" s="212"/>
      <c r="AB826" s="212"/>
      <c r="AC826" s="241" t="n">
        <v>585</v>
      </c>
      <c r="AD826" s="243" t="s">
        <v>1165</v>
      </c>
      <c r="AE826" s="229"/>
      <c r="AF826" s="229"/>
      <c r="AG826" s="229"/>
      <c r="AH826" s="238"/>
      <c r="AI826" s="240"/>
      <c r="AJ826" s="229"/>
      <c r="AK826" s="231"/>
      <c r="AL826" s="229"/>
      <c r="AM826" s="229"/>
      <c r="AN826" s="229"/>
      <c r="AO826" s="229"/>
      <c r="AP826" s="229"/>
      <c r="AQ826" s="229"/>
      <c r="AR826" s="229"/>
      <c r="AS826" s="229"/>
      <c r="AT826" s="229"/>
      <c r="AU826" s="229"/>
      <c r="AV826" s="229"/>
      <c r="AW826" s="5"/>
      <c r="AX826" s="5"/>
      <c r="AY826" s="5"/>
      <c r="AZ826" s="5"/>
      <c r="BA826" s="5"/>
      <c r="BB826" s="5"/>
      <c r="BC826" s="5"/>
      <c r="BD826" s="5"/>
      <c r="BE826" s="5"/>
      <c r="BF826" s="5"/>
      <c r="BG826" s="5"/>
    </row>
    <row r="827" customFormat="false" ht="1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212"/>
      <c r="V827" s="212"/>
      <c r="W827" s="212"/>
      <c r="X827" s="212"/>
      <c r="Y827" s="212"/>
      <c r="Z827" s="212"/>
      <c r="AA827" s="212"/>
      <c r="AB827" s="212"/>
      <c r="AC827" s="241" t="n">
        <v>586</v>
      </c>
      <c r="AD827" s="243" t="s">
        <v>1166</v>
      </c>
      <c r="AE827" s="229"/>
      <c r="AF827" s="229"/>
      <c r="AG827" s="229"/>
      <c r="AH827" s="238"/>
      <c r="AI827" s="240"/>
      <c r="AJ827" s="229"/>
      <c r="AK827" s="231"/>
      <c r="AL827" s="229"/>
      <c r="AM827" s="229"/>
      <c r="AN827" s="229"/>
      <c r="AO827" s="229"/>
      <c r="AP827" s="229"/>
      <c r="AQ827" s="229"/>
      <c r="AR827" s="229"/>
      <c r="AS827" s="229"/>
      <c r="AT827" s="229"/>
      <c r="AU827" s="229"/>
      <c r="AV827" s="229"/>
      <c r="AW827" s="5"/>
      <c r="AX827" s="5"/>
      <c r="AY827" s="5"/>
      <c r="AZ827" s="5"/>
      <c r="BA827" s="5"/>
      <c r="BB827" s="5"/>
      <c r="BC827" s="5"/>
      <c r="BD827" s="5"/>
      <c r="BE827" s="5"/>
      <c r="BF827" s="5"/>
      <c r="BG827" s="5"/>
    </row>
    <row r="828" customFormat="false" ht="1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212"/>
      <c r="V828" s="212"/>
      <c r="W828" s="212"/>
      <c r="X828" s="212"/>
      <c r="Y828" s="212"/>
      <c r="Z828" s="212"/>
      <c r="AA828" s="212"/>
      <c r="AB828" s="212"/>
      <c r="AC828" s="241" t="n">
        <v>587</v>
      </c>
      <c r="AD828" s="243" t="s">
        <v>1167</v>
      </c>
      <c r="AE828" s="229"/>
      <c r="AF828" s="229"/>
      <c r="AG828" s="229"/>
      <c r="AH828" s="238"/>
      <c r="AI828" s="240"/>
      <c r="AJ828" s="229"/>
      <c r="AK828" s="231"/>
      <c r="AL828" s="229"/>
      <c r="AM828" s="229"/>
      <c r="AN828" s="229"/>
      <c r="AO828" s="229"/>
      <c r="AP828" s="229"/>
      <c r="AQ828" s="229"/>
      <c r="AR828" s="229"/>
      <c r="AS828" s="229"/>
      <c r="AT828" s="229"/>
      <c r="AU828" s="229"/>
      <c r="AV828" s="229"/>
      <c r="AW828" s="5"/>
      <c r="AX828" s="5"/>
      <c r="AY828" s="5"/>
      <c r="AZ828" s="5"/>
      <c r="BA828" s="5"/>
      <c r="BB828" s="5"/>
      <c r="BC828" s="5"/>
      <c r="BD828" s="5"/>
      <c r="BE828" s="5"/>
      <c r="BF828" s="5"/>
      <c r="BG828" s="5"/>
    </row>
    <row r="829" customFormat="false" ht="1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212"/>
      <c r="V829" s="212"/>
      <c r="W829" s="212"/>
      <c r="X829" s="212"/>
      <c r="Y829" s="212"/>
      <c r="Z829" s="212"/>
      <c r="AA829" s="212"/>
      <c r="AB829" s="212"/>
      <c r="AC829" s="241" t="n">
        <v>588</v>
      </c>
      <c r="AD829" s="243" t="s">
        <v>1168</v>
      </c>
      <c r="AE829" s="229"/>
      <c r="AF829" s="229"/>
      <c r="AG829" s="229"/>
      <c r="AH829" s="238"/>
      <c r="AI829" s="240"/>
      <c r="AJ829" s="229"/>
      <c r="AK829" s="231"/>
      <c r="AL829" s="229"/>
      <c r="AM829" s="229"/>
      <c r="AN829" s="229"/>
      <c r="AO829" s="229"/>
      <c r="AP829" s="229"/>
      <c r="AQ829" s="229"/>
      <c r="AR829" s="229"/>
      <c r="AS829" s="229"/>
      <c r="AT829" s="229"/>
      <c r="AU829" s="229"/>
      <c r="AV829" s="229"/>
      <c r="AW829" s="5"/>
      <c r="AX829" s="5"/>
      <c r="AY829" s="5"/>
      <c r="AZ829" s="5"/>
      <c r="BA829" s="5"/>
      <c r="BB829" s="5"/>
      <c r="BC829" s="5"/>
      <c r="BD829" s="5"/>
      <c r="BE829" s="5"/>
      <c r="BF829" s="5"/>
      <c r="BG829" s="5"/>
    </row>
    <row r="830" customFormat="false" ht="1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212"/>
      <c r="V830" s="212"/>
      <c r="W830" s="212"/>
      <c r="X830" s="212"/>
      <c r="Y830" s="212"/>
      <c r="Z830" s="212"/>
      <c r="AA830" s="212"/>
      <c r="AB830" s="212"/>
      <c r="AC830" s="241" t="n">
        <v>589</v>
      </c>
      <c r="AD830" s="243" t="s">
        <v>1169</v>
      </c>
      <c r="AE830" s="229"/>
      <c r="AF830" s="229"/>
      <c r="AG830" s="229"/>
      <c r="AH830" s="238"/>
      <c r="AI830" s="240"/>
      <c r="AJ830" s="229"/>
      <c r="AK830" s="231"/>
      <c r="AL830" s="229"/>
      <c r="AM830" s="229"/>
      <c r="AN830" s="229"/>
      <c r="AO830" s="229"/>
      <c r="AP830" s="229"/>
      <c r="AQ830" s="229"/>
      <c r="AR830" s="229"/>
      <c r="AS830" s="229"/>
      <c r="AT830" s="229"/>
      <c r="AU830" s="229"/>
      <c r="AV830" s="229"/>
      <c r="AW830" s="5"/>
      <c r="AX830" s="5"/>
      <c r="AY830" s="5"/>
      <c r="AZ830" s="5"/>
      <c r="BA830" s="5"/>
      <c r="BB830" s="5"/>
      <c r="BC830" s="5"/>
      <c r="BD830" s="5"/>
      <c r="BE830" s="5"/>
      <c r="BF830" s="5"/>
      <c r="BG830" s="5"/>
    </row>
    <row r="831" customFormat="false" ht="1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212"/>
      <c r="V831" s="212"/>
      <c r="W831" s="212"/>
      <c r="X831" s="212"/>
      <c r="Y831" s="212"/>
      <c r="Z831" s="212"/>
      <c r="AA831" s="212"/>
      <c r="AB831" s="212"/>
      <c r="AC831" s="241" t="n">
        <v>590</v>
      </c>
      <c r="AD831" s="243" t="s">
        <v>1170</v>
      </c>
      <c r="AE831" s="229"/>
      <c r="AF831" s="229"/>
      <c r="AG831" s="229"/>
      <c r="AH831" s="238"/>
      <c r="AI831" s="240"/>
      <c r="AJ831" s="229"/>
      <c r="AK831" s="231"/>
      <c r="AL831" s="229"/>
      <c r="AM831" s="229"/>
      <c r="AN831" s="229"/>
      <c r="AO831" s="229"/>
      <c r="AP831" s="229"/>
      <c r="AQ831" s="229"/>
      <c r="AR831" s="229"/>
      <c r="AS831" s="229"/>
      <c r="AT831" s="229"/>
      <c r="AU831" s="229"/>
      <c r="AV831" s="229"/>
      <c r="AW831" s="5"/>
      <c r="AX831" s="5"/>
      <c r="AY831" s="5"/>
      <c r="AZ831" s="5"/>
      <c r="BA831" s="5"/>
      <c r="BB831" s="5"/>
      <c r="BC831" s="5"/>
      <c r="BD831" s="5"/>
      <c r="BE831" s="5"/>
      <c r="BF831" s="5"/>
      <c r="BG831" s="5"/>
    </row>
    <row r="832" customFormat="false" ht="1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212"/>
      <c r="V832" s="212"/>
      <c r="W832" s="212"/>
      <c r="X832" s="212"/>
      <c r="Y832" s="212"/>
      <c r="Z832" s="212"/>
      <c r="AA832" s="212"/>
      <c r="AB832" s="212"/>
      <c r="AC832" s="241" t="n">
        <v>591</v>
      </c>
      <c r="AD832" s="243" t="s">
        <v>1171</v>
      </c>
      <c r="AE832" s="229"/>
      <c r="AF832" s="229"/>
      <c r="AG832" s="229"/>
      <c r="AH832" s="238"/>
      <c r="AI832" s="240"/>
      <c r="AJ832" s="229"/>
      <c r="AK832" s="231"/>
      <c r="AL832" s="229"/>
      <c r="AM832" s="229"/>
      <c r="AN832" s="229"/>
      <c r="AO832" s="229"/>
      <c r="AP832" s="229"/>
      <c r="AQ832" s="229"/>
      <c r="AR832" s="229"/>
      <c r="AS832" s="229"/>
      <c r="AT832" s="229"/>
      <c r="AU832" s="229"/>
      <c r="AV832" s="229"/>
      <c r="AW832" s="5"/>
      <c r="AX832" s="5"/>
      <c r="AY832" s="5"/>
      <c r="AZ832" s="5"/>
      <c r="BA832" s="5"/>
      <c r="BB832" s="5"/>
      <c r="BC832" s="5"/>
      <c r="BD832" s="5"/>
      <c r="BE832" s="5"/>
      <c r="BF832" s="5"/>
      <c r="BG832" s="5"/>
    </row>
    <row r="833" customFormat="false" ht="1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212"/>
      <c r="V833" s="212"/>
      <c r="W833" s="212"/>
      <c r="X833" s="212"/>
      <c r="Y833" s="212"/>
      <c r="Z833" s="212"/>
      <c r="AA833" s="212"/>
      <c r="AB833" s="212"/>
      <c r="AC833" s="241" t="n">
        <v>592</v>
      </c>
      <c r="AD833" s="243" t="s">
        <v>1172</v>
      </c>
      <c r="AE833" s="229"/>
      <c r="AF833" s="229"/>
      <c r="AG833" s="229"/>
      <c r="AH833" s="238"/>
      <c r="AI833" s="240"/>
      <c r="AJ833" s="229"/>
      <c r="AK833" s="231"/>
      <c r="AL833" s="229"/>
      <c r="AM833" s="229"/>
      <c r="AN833" s="229"/>
      <c r="AO833" s="229"/>
      <c r="AP833" s="229"/>
      <c r="AQ833" s="229"/>
      <c r="AR833" s="229"/>
      <c r="AS833" s="229"/>
      <c r="AT833" s="229"/>
      <c r="AU833" s="229"/>
      <c r="AV833" s="229"/>
      <c r="AW833" s="5"/>
      <c r="AX833" s="5"/>
      <c r="AY833" s="5"/>
      <c r="AZ833" s="5"/>
      <c r="BA833" s="5"/>
      <c r="BB833" s="5"/>
      <c r="BC833" s="5"/>
      <c r="BD833" s="5"/>
      <c r="BE833" s="5"/>
      <c r="BF833" s="5"/>
      <c r="BG833" s="5"/>
    </row>
    <row r="834" customFormat="false" ht="1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212"/>
      <c r="V834" s="212"/>
      <c r="W834" s="212"/>
      <c r="X834" s="212"/>
      <c r="Y834" s="212"/>
      <c r="Z834" s="212"/>
      <c r="AA834" s="212"/>
      <c r="AB834" s="212"/>
      <c r="AC834" s="241" t="n">
        <v>593</v>
      </c>
      <c r="AD834" s="243" t="s">
        <v>1173</v>
      </c>
      <c r="AE834" s="229"/>
      <c r="AF834" s="229"/>
      <c r="AG834" s="229"/>
      <c r="AH834" s="238"/>
      <c r="AI834" s="240"/>
      <c r="AJ834" s="229"/>
      <c r="AK834" s="231"/>
      <c r="AL834" s="229"/>
      <c r="AM834" s="229"/>
      <c r="AN834" s="229"/>
      <c r="AO834" s="229"/>
      <c r="AP834" s="229"/>
      <c r="AQ834" s="229"/>
      <c r="AR834" s="229"/>
      <c r="AS834" s="229"/>
      <c r="AT834" s="229"/>
      <c r="AU834" s="229"/>
      <c r="AV834" s="229"/>
      <c r="AW834" s="5"/>
      <c r="AX834" s="5"/>
      <c r="AY834" s="5"/>
      <c r="AZ834" s="5"/>
      <c r="BA834" s="5"/>
      <c r="BB834" s="5"/>
      <c r="BC834" s="5"/>
      <c r="BD834" s="5"/>
      <c r="BE834" s="5"/>
      <c r="BF834" s="5"/>
      <c r="BG834" s="5"/>
    </row>
    <row r="835" customFormat="false" ht="1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212"/>
      <c r="V835" s="212"/>
      <c r="W835" s="212"/>
      <c r="X835" s="212"/>
      <c r="Y835" s="212"/>
      <c r="Z835" s="212"/>
      <c r="AA835" s="212"/>
      <c r="AB835" s="212"/>
      <c r="AC835" s="241" t="n">
        <v>594</v>
      </c>
      <c r="AD835" s="243" t="s">
        <v>1174</v>
      </c>
      <c r="AE835" s="229"/>
      <c r="AF835" s="229"/>
      <c r="AG835" s="229"/>
      <c r="AH835" s="238"/>
      <c r="AI835" s="240"/>
      <c r="AJ835" s="229"/>
      <c r="AK835" s="231"/>
      <c r="AL835" s="229"/>
      <c r="AM835" s="229"/>
      <c r="AN835" s="229"/>
      <c r="AO835" s="229"/>
      <c r="AP835" s="229"/>
      <c r="AQ835" s="229"/>
      <c r="AR835" s="229"/>
      <c r="AS835" s="229"/>
      <c r="AT835" s="229"/>
      <c r="AU835" s="229"/>
      <c r="AV835" s="229"/>
      <c r="AW835" s="5"/>
      <c r="AX835" s="5"/>
      <c r="AY835" s="5"/>
      <c r="AZ835" s="5"/>
      <c r="BA835" s="5"/>
      <c r="BB835" s="5"/>
      <c r="BC835" s="5"/>
      <c r="BD835" s="5"/>
      <c r="BE835" s="5"/>
      <c r="BF835" s="5"/>
      <c r="BG835" s="5"/>
    </row>
    <row r="836" customFormat="false" ht="1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212"/>
      <c r="V836" s="212"/>
      <c r="W836" s="212"/>
      <c r="X836" s="212"/>
      <c r="Y836" s="212"/>
      <c r="Z836" s="212"/>
      <c r="AA836" s="212"/>
      <c r="AB836" s="212"/>
      <c r="AC836" s="241" t="n">
        <v>595</v>
      </c>
      <c r="AD836" s="243" t="s">
        <v>1175</v>
      </c>
      <c r="AE836" s="229"/>
      <c r="AF836" s="229"/>
      <c r="AG836" s="229"/>
      <c r="AH836" s="238"/>
      <c r="AI836" s="240"/>
      <c r="AJ836" s="229"/>
      <c r="AK836" s="231"/>
      <c r="AL836" s="229"/>
      <c r="AM836" s="229"/>
      <c r="AN836" s="229"/>
      <c r="AO836" s="229"/>
      <c r="AP836" s="229"/>
      <c r="AQ836" s="229"/>
      <c r="AR836" s="229"/>
      <c r="AS836" s="229"/>
      <c r="AT836" s="229"/>
      <c r="AU836" s="229"/>
      <c r="AV836" s="229"/>
      <c r="AW836" s="5"/>
      <c r="AX836" s="5"/>
      <c r="AY836" s="5"/>
      <c r="AZ836" s="5"/>
      <c r="BA836" s="5"/>
      <c r="BB836" s="5"/>
      <c r="BC836" s="5"/>
      <c r="BD836" s="5"/>
      <c r="BE836" s="5"/>
      <c r="BF836" s="5"/>
      <c r="BG836" s="5"/>
    </row>
    <row r="837" customFormat="false" ht="1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212"/>
      <c r="V837" s="212"/>
      <c r="W837" s="212"/>
      <c r="X837" s="212"/>
      <c r="Y837" s="212"/>
      <c r="Z837" s="212"/>
      <c r="AA837" s="212"/>
      <c r="AB837" s="212"/>
      <c r="AC837" s="241" t="n">
        <v>596</v>
      </c>
      <c r="AD837" s="243" t="s">
        <v>1176</v>
      </c>
      <c r="AE837" s="229"/>
      <c r="AF837" s="229"/>
      <c r="AG837" s="229"/>
      <c r="AH837" s="238"/>
      <c r="AI837" s="240"/>
      <c r="AJ837" s="229"/>
      <c r="AK837" s="231"/>
      <c r="AL837" s="229"/>
      <c r="AM837" s="229"/>
      <c r="AN837" s="229"/>
      <c r="AO837" s="229"/>
      <c r="AP837" s="229"/>
      <c r="AQ837" s="229"/>
      <c r="AR837" s="229"/>
      <c r="AS837" s="229"/>
      <c r="AT837" s="229"/>
      <c r="AU837" s="229"/>
      <c r="AV837" s="229"/>
      <c r="AW837" s="5"/>
      <c r="AX837" s="5"/>
      <c r="AY837" s="5"/>
      <c r="AZ837" s="5"/>
      <c r="BA837" s="5"/>
      <c r="BB837" s="5"/>
      <c r="BC837" s="5"/>
      <c r="BD837" s="5"/>
      <c r="BE837" s="5"/>
      <c r="BF837" s="5"/>
      <c r="BG837" s="5"/>
    </row>
    <row r="838" customFormat="false" ht="1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212"/>
      <c r="V838" s="212"/>
      <c r="W838" s="212"/>
      <c r="X838" s="212"/>
      <c r="Y838" s="212"/>
      <c r="Z838" s="212"/>
      <c r="AA838" s="212"/>
      <c r="AB838" s="212"/>
      <c r="AC838" s="241" t="n">
        <v>597</v>
      </c>
      <c r="AD838" s="243" t="s">
        <v>1177</v>
      </c>
      <c r="AE838" s="229"/>
      <c r="AF838" s="229"/>
      <c r="AG838" s="229"/>
      <c r="AH838" s="238"/>
      <c r="AI838" s="240"/>
      <c r="AJ838" s="229"/>
      <c r="AK838" s="231"/>
      <c r="AL838" s="229"/>
      <c r="AM838" s="229"/>
      <c r="AN838" s="229"/>
      <c r="AO838" s="229"/>
      <c r="AP838" s="229"/>
      <c r="AQ838" s="229"/>
      <c r="AR838" s="229"/>
      <c r="AS838" s="229"/>
      <c r="AT838" s="229"/>
      <c r="AU838" s="229"/>
      <c r="AV838" s="229"/>
      <c r="AW838" s="5"/>
      <c r="AX838" s="5"/>
      <c r="AY838" s="5"/>
      <c r="AZ838" s="5"/>
      <c r="BA838" s="5"/>
      <c r="BB838" s="5"/>
      <c r="BC838" s="5"/>
      <c r="BD838" s="5"/>
      <c r="BE838" s="5"/>
      <c r="BF838" s="5"/>
      <c r="BG838" s="5"/>
    </row>
    <row r="839" customFormat="false" ht="1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212"/>
      <c r="V839" s="212"/>
      <c r="W839" s="212"/>
      <c r="X839" s="212"/>
      <c r="Y839" s="212"/>
      <c r="Z839" s="212"/>
      <c r="AA839" s="212"/>
      <c r="AB839" s="212"/>
      <c r="AC839" s="241" t="n">
        <v>598</v>
      </c>
      <c r="AD839" s="243" t="s">
        <v>1178</v>
      </c>
      <c r="AE839" s="229"/>
      <c r="AF839" s="229"/>
      <c r="AG839" s="229"/>
      <c r="AH839" s="238"/>
      <c r="AI839" s="240"/>
      <c r="AJ839" s="229"/>
      <c r="AK839" s="231"/>
      <c r="AL839" s="229"/>
      <c r="AM839" s="229"/>
      <c r="AN839" s="229"/>
      <c r="AO839" s="229"/>
      <c r="AP839" s="229"/>
      <c r="AQ839" s="229"/>
      <c r="AR839" s="229"/>
      <c r="AS839" s="229"/>
      <c r="AT839" s="229"/>
      <c r="AU839" s="229"/>
      <c r="AV839" s="229"/>
      <c r="AW839" s="5"/>
      <c r="AX839" s="5"/>
      <c r="AY839" s="5"/>
      <c r="AZ839" s="5"/>
      <c r="BA839" s="5"/>
      <c r="BB839" s="5"/>
      <c r="BC839" s="5"/>
      <c r="BD839" s="5"/>
      <c r="BE839" s="5"/>
      <c r="BF839" s="5"/>
      <c r="BG839" s="5"/>
    </row>
    <row r="840" customFormat="false" ht="1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212"/>
      <c r="V840" s="212"/>
      <c r="W840" s="212"/>
      <c r="X840" s="212"/>
      <c r="Y840" s="212"/>
      <c r="Z840" s="212"/>
      <c r="AA840" s="212"/>
      <c r="AB840" s="212"/>
      <c r="AC840" s="241" t="n">
        <v>599</v>
      </c>
      <c r="AD840" s="243" t="s">
        <v>1179</v>
      </c>
      <c r="AE840" s="229"/>
      <c r="AF840" s="229"/>
      <c r="AG840" s="229"/>
      <c r="AH840" s="238"/>
      <c r="AI840" s="240"/>
      <c r="AJ840" s="229"/>
      <c r="AK840" s="231"/>
      <c r="AL840" s="229"/>
      <c r="AM840" s="229"/>
      <c r="AN840" s="229"/>
      <c r="AO840" s="229"/>
      <c r="AP840" s="229"/>
      <c r="AQ840" s="229"/>
      <c r="AR840" s="229"/>
      <c r="AS840" s="229"/>
      <c r="AT840" s="229"/>
      <c r="AU840" s="229"/>
      <c r="AV840" s="229"/>
      <c r="AW840" s="5"/>
      <c r="AX840" s="5"/>
      <c r="AY840" s="5"/>
      <c r="AZ840" s="5"/>
      <c r="BA840" s="5"/>
      <c r="BB840" s="5"/>
      <c r="BC840" s="5"/>
      <c r="BD840" s="5"/>
      <c r="BE840" s="5"/>
      <c r="BF840" s="5"/>
      <c r="BG840" s="5"/>
    </row>
    <row r="841" customFormat="false" ht="1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212"/>
      <c r="V841" s="212"/>
      <c r="W841" s="212"/>
      <c r="X841" s="212"/>
      <c r="Y841" s="212"/>
      <c r="Z841" s="212"/>
      <c r="AA841" s="212"/>
      <c r="AB841" s="212"/>
      <c r="AC841" s="241" t="n">
        <v>600</v>
      </c>
      <c r="AD841" s="243" t="s">
        <v>1180</v>
      </c>
      <c r="AE841" s="229"/>
      <c r="AF841" s="229"/>
      <c r="AG841" s="229"/>
      <c r="AH841" s="238"/>
      <c r="AI841" s="240"/>
      <c r="AJ841" s="229"/>
      <c r="AK841" s="231"/>
      <c r="AL841" s="229"/>
      <c r="AM841" s="229"/>
      <c r="AN841" s="229"/>
      <c r="AO841" s="229"/>
      <c r="AP841" s="229"/>
      <c r="AQ841" s="229"/>
      <c r="AR841" s="229"/>
      <c r="AS841" s="229"/>
      <c r="AT841" s="229"/>
      <c r="AU841" s="229"/>
      <c r="AV841" s="229"/>
      <c r="AW841" s="5"/>
      <c r="AX841" s="5"/>
      <c r="AY841" s="5"/>
      <c r="AZ841" s="5"/>
      <c r="BA841" s="5"/>
      <c r="BB841" s="5"/>
      <c r="BC841" s="5"/>
      <c r="BD841" s="5"/>
      <c r="BE841" s="5"/>
      <c r="BF841" s="5"/>
      <c r="BG841" s="5"/>
    </row>
    <row r="842" customFormat="false" ht="1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212"/>
      <c r="V842" s="212"/>
      <c r="W842" s="212"/>
      <c r="X842" s="212"/>
      <c r="Y842" s="212"/>
      <c r="Z842" s="212"/>
      <c r="AA842" s="212"/>
      <c r="AB842" s="212"/>
      <c r="AC842" s="241" t="n">
        <v>601</v>
      </c>
      <c r="AD842" s="243" t="s">
        <v>1181</v>
      </c>
      <c r="AE842" s="229"/>
      <c r="AF842" s="229"/>
      <c r="AG842" s="229"/>
      <c r="AH842" s="238"/>
      <c r="AI842" s="240"/>
      <c r="AJ842" s="229"/>
      <c r="AK842" s="231"/>
      <c r="AL842" s="229"/>
      <c r="AM842" s="229"/>
      <c r="AN842" s="229"/>
      <c r="AO842" s="229"/>
      <c r="AP842" s="229"/>
      <c r="AQ842" s="229"/>
      <c r="AR842" s="229"/>
      <c r="AS842" s="229"/>
      <c r="AT842" s="229"/>
      <c r="AU842" s="229"/>
      <c r="AV842" s="229"/>
      <c r="AW842" s="5"/>
      <c r="AX842" s="5"/>
      <c r="AY842" s="5"/>
      <c r="AZ842" s="5"/>
      <c r="BA842" s="5"/>
      <c r="BB842" s="5"/>
      <c r="BC842" s="5"/>
      <c r="BD842" s="5"/>
      <c r="BE842" s="5"/>
      <c r="BF842" s="5"/>
      <c r="BG842" s="5"/>
    </row>
    <row r="843" customFormat="false" ht="1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212"/>
      <c r="V843" s="212"/>
      <c r="W843" s="212"/>
      <c r="X843" s="212"/>
      <c r="Y843" s="212"/>
      <c r="Z843" s="212"/>
      <c r="AA843" s="212"/>
      <c r="AB843" s="212"/>
      <c r="AC843" s="241" t="n">
        <v>602</v>
      </c>
      <c r="AD843" s="243" t="s">
        <v>1182</v>
      </c>
      <c r="AE843" s="229"/>
      <c r="AF843" s="229"/>
      <c r="AG843" s="229"/>
      <c r="AH843" s="238"/>
      <c r="AI843" s="240"/>
      <c r="AJ843" s="229"/>
      <c r="AK843" s="231"/>
      <c r="AL843" s="229"/>
      <c r="AM843" s="229"/>
      <c r="AN843" s="229"/>
      <c r="AO843" s="229"/>
      <c r="AP843" s="229"/>
      <c r="AQ843" s="229"/>
      <c r="AR843" s="229"/>
      <c r="AS843" s="229"/>
      <c r="AT843" s="229"/>
      <c r="AU843" s="229"/>
      <c r="AV843" s="229"/>
      <c r="AW843" s="5"/>
      <c r="AX843" s="5"/>
      <c r="AY843" s="5"/>
      <c r="AZ843" s="5"/>
      <c r="BA843" s="5"/>
      <c r="BB843" s="5"/>
      <c r="BC843" s="5"/>
      <c r="BD843" s="5"/>
      <c r="BE843" s="5"/>
      <c r="BF843" s="5"/>
      <c r="BG843" s="5"/>
    </row>
    <row r="844" customFormat="false" ht="1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212"/>
      <c r="V844" s="212"/>
      <c r="W844" s="212"/>
      <c r="X844" s="212"/>
      <c r="Y844" s="212"/>
      <c r="Z844" s="212"/>
      <c r="AA844" s="212"/>
      <c r="AB844" s="212"/>
      <c r="AC844" s="241" t="n">
        <v>603</v>
      </c>
      <c r="AD844" s="243" t="s">
        <v>1183</v>
      </c>
      <c r="AE844" s="229"/>
      <c r="AF844" s="229"/>
      <c r="AG844" s="229"/>
      <c r="AH844" s="238"/>
      <c r="AI844" s="240"/>
      <c r="AJ844" s="229"/>
      <c r="AK844" s="231"/>
      <c r="AL844" s="229"/>
      <c r="AM844" s="229"/>
      <c r="AN844" s="229"/>
      <c r="AO844" s="229"/>
      <c r="AP844" s="229"/>
      <c r="AQ844" s="229"/>
      <c r="AR844" s="229"/>
      <c r="AS844" s="229"/>
      <c r="AT844" s="229"/>
      <c r="AU844" s="229"/>
      <c r="AV844" s="229"/>
      <c r="AW844" s="5"/>
      <c r="AX844" s="5"/>
      <c r="AY844" s="5"/>
      <c r="AZ844" s="5"/>
      <c r="BA844" s="5"/>
      <c r="BB844" s="5"/>
      <c r="BC844" s="5"/>
      <c r="BD844" s="5"/>
      <c r="BE844" s="5"/>
      <c r="BF844" s="5"/>
      <c r="BG844" s="5"/>
    </row>
    <row r="845" customFormat="false" ht="1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212"/>
      <c r="V845" s="212"/>
      <c r="W845" s="212"/>
      <c r="X845" s="212"/>
      <c r="Y845" s="212"/>
      <c r="Z845" s="212"/>
      <c r="AA845" s="212"/>
      <c r="AB845" s="212"/>
      <c r="AC845" s="241" t="n">
        <v>604</v>
      </c>
      <c r="AD845" s="243" t="s">
        <v>1184</v>
      </c>
      <c r="AE845" s="229"/>
      <c r="AF845" s="229"/>
      <c r="AG845" s="229"/>
      <c r="AH845" s="238"/>
      <c r="AI845" s="240"/>
      <c r="AJ845" s="229"/>
      <c r="AK845" s="231"/>
      <c r="AL845" s="229"/>
      <c r="AM845" s="229"/>
      <c r="AN845" s="229"/>
      <c r="AO845" s="229"/>
      <c r="AP845" s="229"/>
      <c r="AQ845" s="229"/>
      <c r="AR845" s="229"/>
      <c r="AS845" s="229"/>
      <c r="AT845" s="229"/>
      <c r="AU845" s="229"/>
      <c r="AV845" s="229"/>
      <c r="AW845" s="5"/>
      <c r="AX845" s="5"/>
      <c r="AY845" s="5"/>
      <c r="AZ845" s="5"/>
      <c r="BA845" s="5"/>
      <c r="BB845" s="5"/>
      <c r="BC845" s="5"/>
      <c r="BD845" s="5"/>
      <c r="BE845" s="5"/>
      <c r="BF845" s="5"/>
      <c r="BG845" s="5"/>
    </row>
    <row r="846" customFormat="false" ht="1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212"/>
      <c r="V846" s="212"/>
      <c r="W846" s="212"/>
      <c r="X846" s="212"/>
      <c r="Y846" s="212"/>
      <c r="Z846" s="212"/>
      <c r="AA846" s="212"/>
      <c r="AB846" s="212"/>
      <c r="AC846" s="241" t="n">
        <v>605</v>
      </c>
      <c r="AD846" s="243" t="s">
        <v>1185</v>
      </c>
      <c r="AE846" s="229"/>
      <c r="AF846" s="229"/>
      <c r="AG846" s="229"/>
      <c r="AH846" s="238"/>
      <c r="AI846" s="240"/>
      <c r="AJ846" s="229"/>
      <c r="AK846" s="231"/>
      <c r="AL846" s="229"/>
      <c r="AM846" s="229"/>
      <c r="AN846" s="229"/>
      <c r="AO846" s="229"/>
      <c r="AP846" s="229"/>
      <c r="AQ846" s="229"/>
      <c r="AR846" s="229"/>
      <c r="AS846" s="229"/>
      <c r="AT846" s="229"/>
      <c r="AU846" s="229"/>
      <c r="AV846" s="229"/>
      <c r="AW846" s="5"/>
      <c r="AX846" s="5"/>
      <c r="AY846" s="5"/>
      <c r="AZ846" s="5"/>
      <c r="BA846" s="5"/>
      <c r="BB846" s="5"/>
      <c r="BC846" s="5"/>
      <c r="BD846" s="5"/>
      <c r="BE846" s="5"/>
      <c r="BF846" s="5"/>
      <c r="BG846" s="5"/>
    </row>
    <row r="847" customFormat="false" ht="1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AE847" s="229"/>
      <c r="AF847" s="229"/>
      <c r="AG847" s="229"/>
      <c r="AH847" s="238"/>
      <c r="AI847" s="240"/>
      <c r="AJ847" s="229"/>
      <c r="AK847" s="231"/>
      <c r="AL847" s="229"/>
      <c r="AM847" s="229"/>
      <c r="AN847" s="229"/>
      <c r="AO847" s="229"/>
      <c r="AP847" s="229"/>
      <c r="AQ847" s="229"/>
      <c r="AR847" s="229"/>
      <c r="AS847" s="229"/>
      <c r="AT847" s="229"/>
      <c r="AU847" s="229"/>
      <c r="AV847" s="229"/>
      <c r="AW847" s="5"/>
      <c r="AX847" s="5"/>
      <c r="AY847" s="5"/>
      <c r="AZ847" s="5"/>
      <c r="BA847" s="5"/>
      <c r="BB847" s="5"/>
      <c r="BC847" s="5"/>
      <c r="BD847" s="5"/>
      <c r="BE847" s="5"/>
      <c r="BF847" s="5"/>
      <c r="BG847" s="5"/>
    </row>
    <row r="848" customFormat="false" ht="1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AE848" s="229"/>
      <c r="AF848" s="229"/>
      <c r="AG848" s="229"/>
      <c r="AH848" s="238"/>
      <c r="AI848" s="240"/>
      <c r="AJ848" s="229"/>
      <c r="AK848" s="231"/>
      <c r="AL848" s="229"/>
      <c r="AM848" s="229"/>
      <c r="AN848" s="229"/>
      <c r="AO848" s="229"/>
      <c r="AP848" s="229"/>
      <c r="AQ848" s="229"/>
      <c r="AR848" s="229"/>
      <c r="AS848" s="229"/>
      <c r="AT848" s="229"/>
      <c r="AU848" s="229"/>
      <c r="AV848" s="229"/>
      <c r="AW848" s="5"/>
      <c r="AX848" s="5"/>
      <c r="AY848" s="5"/>
      <c r="AZ848" s="5"/>
      <c r="BA848" s="5"/>
      <c r="BB848" s="5"/>
      <c r="BC848" s="5"/>
      <c r="BD848" s="5"/>
      <c r="BE848" s="5"/>
      <c r="BF848" s="5"/>
      <c r="BG848" s="5"/>
    </row>
    <row r="849" customFormat="false" ht="1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AE849" s="229"/>
      <c r="AF849" s="229"/>
      <c r="AG849" s="229"/>
      <c r="AH849" s="238"/>
      <c r="AI849" s="240"/>
      <c r="AJ849" s="229"/>
      <c r="AK849" s="231"/>
      <c r="AL849" s="229"/>
      <c r="AM849" s="229"/>
      <c r="AN849" s="229"/>
      <c r="AO849" s="229"/>
      <c r="AP849" s="229"/>
      <c r="AQ849" s="229"/>
      <c r="AR849" s="229"/>
      <c r="AS849" s="229"/>
      <c r="AT849" s="229"/>
      <c r="AU849" s="229"/>
      <c r="AV849" s="229"/>
      <c r="AW849" s="5"/>
      <c r="AX849" s="5"/>
      <c r="AY849" s="5"/>
      <c r="AZ849" s="5"/>
      <c r="BA849" s="5"/>
      <c r="BB849" s="5"/>
      <c r="BC849" s="5"/>
      <c r="BD849" s="5"/>
      <c r="BE849" s="5"/>
      <c r="BF849" s="5"/>
      <c r="BG849" s="5"/>
    </row>
    <row r="850" customFormat="false" ht="1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AE850" s="229"/>
      <c r="AF850" s="229"/>
      <c r="AG850" s="229"/>
      <c r="AH850" s="238"/>
      <c r="AI850" s="240"/>
      <c r="AJ850" s="229"/>
      <c r="AK850" s="231"/>
      <c r="AL850" s="229"/>
      <c r="AM850" s="229"/>
      <c r="AN850" s="229"/>
      <c r="AO850" s="229"/>
      <c r="AP850" s="229"/>
      <c r="AQ850" s="229"/>
      <c r="AR850" s="229"/>
      <c r="AS850" s="229"/>
      <c r="AT850" s="229"/>
      <c r="AU850" s="229"/>
      <c r="AV850" s="229"/>
      <c r="AW850" s="5"/>
      <c r="AX850" s="5"/>
      <c r="AY850" s="5"/>
      <c r="AZ850" s="5"/>
      <c r="BA850" s="5"/>
      <c r="BB850" s="5"/>
      <c r="BC850" s="5"/>
      <c r="BD850" s="5"/>
      <c r="BE850" s="5"/>
      <c r="BF850" s="5"/>
      <c r="BG850" s="5"/>
    </row>
    <row r="851" customFormat="false" ht="1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AE851" s="229"/>
      <c r="AF851" s="229"/>
      <c r="AG851" s="229"/>
      <c r="AH851" s="238"/>
      <c r="AI851" s="240"/>
      <c r="AJ851" s="229"/>
      <c r="AK851" s="231"/>
      <c r="AL851" s="229"/>
      <c r="AM851" s="229"/>
      <c r="AN851" s="229"/>
      <c r="AO851" s="229"/>
      <c r="AP851" s="229"/>
      <c r="AQ851" s="229"/>
      <c r="AR851" s="229"/>
      <c r="AS851" s="229"/>
      <c r="AT851" s="229"/>
      <c r="AU851" s="229"/>
      <c r="AV851" s="229"/>
      <c r="AW851" s="5"/>
      <c r="AX851" s="5"/>
      <c r="AY851" s="5"/>
      <c r="AZ851" s="5"/>
      <c r="BA851" s="5"/>
      <c r="BB851" s="5"/>
      <c r="BC851" s="5"/>
      <c r="BD851" s="5"/>
      <c r="BE851" s="5"/>
      <c r="BF851" s="5"/>
      <c r="BG851" s="5"/>
    </row>
    <row r="852" customFormat="false" ht="1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AE852" s="229"/>
      <c r="AF852" s="229"/>
      <c r="AG852" s="229"/>
      <c r="AH852" s="238"/>
      <c r="AI852" s="240"/>
      <c r="AJ852" s="229"/>
      <c r="AK852" s="231"/>
      <c r="AL852" s="229"/>
      <c r="AM852" s="229"/>
      <c r="AN852" s="229"/>
      <c r="AO852" s="229"/>
      <c r="AP852" s="229"/>
      <c r="AQ852" s="229"/>
      <c r="AR852" s="229"/>
      <c r="AS852" s="229"/>
      <c r="AT852" s="229"/>
      <c r="AU852" s="229"/>
      <c r="AV852" s="229"/>
      <c r="AW852" s="5"/>
      <c r="AX852" s="5"/>
      <c r="AY852" s="5"/>
      <c r="AZ852" s="5"/>
      <c r="BA852" s="5"/>
      <c r="BB852" s="5"/>
      <c r="BC852" s="5"/>
      <c r="BD852" s="5"/>
      <c r="BE852" s="5"/>
      <c r="BF852" s="5"/>
      <c r="BG852" s="5"/>
    </row>
    <row r="853" customFormat="false" ht="1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AE853" s="229"/>
      <c r="AF853" s="229"/>
      <c r="AG853" s="229"/>
      <c r="AH853" s="238"/>
      <c r="AI853" s="240"/>
      <c r="AJ853" s="229"/>
      <c r="AK853" s="231"/>
      <c r="AL853" s="229"/>
      <c r="AM853" s="229"/>
      <c r="AN853" s="229"/>
      <c r="AO853" s="229"/>
      <c r="AP853" s="229"/>
      <c r="AQ853" s="229"/>
      <c r="AR853" s="229"/>
      <c r="AS853" s="229"/>
      <c r="AT853" s="229"/>
      <c r="AU853" s="229"/>
      <c r="AV853" s="229"/>
      <c r="AW853" s="5"/>
      <c r="AX853" s="5"/>
      <c r="AY853" s="5"/>
      <c r="AZ853" s="5"/>
      <c r="BA853" s="5"/>
      <c r="BB853" s="5"/>
      <c r="BC853" s="5"/>
      <c r="BD853" s="5"/>
      <c r="BE853" s="5"/>
      <c r="BF853" s="5"/>
      <c r="BG853" s="5"/>
    </row>
    <row r="854" customFormat="false" ht="1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AE854" s="229"/>
      <c r="AF854" s="229"/>
      <c r="AG854" s="229"/>
      <c r="AH854" s="238"/>
      <c r="AI854" s="240"/>
      <c r="AJ854" s="229"/>
      <c r="AK854" s="231"/>
      <c r="AL854" s="229"/>
      <c r="AM854" s="229"/>
      <c r="AN854" s="229"/>
      <c r="AO854" s="229"/>
      <c r="AP854" s="229"/>
      <c r="AQ854" s="229"/>
      <c r="AR854" s="229"/>
      <c r="AS854" s="229"/>
      <c r="AT854" s="229"/>
      <c r="AU854" s="229"/>
      <c r="AV854" s="229"/>
      <c r="AW854" s="5"/>
      <c r="AX854" s="5"/>
      <c r="AY854" s="5"/>
      <c r="AZ854" s="5"/>
      <c r="BA854" s="5"/>
      <c r="BB854" s="5"/>
      <c r="BC854" s="5"/>
      <c r="BD854" s="5"/>
      <c r="BE854" s="5"/>
      <c r="BF854" s="5"/>
      <c r="BG854" s="5"/>
    </row>
    <row r="855" customFormat="false" ht="1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AE855" s="229"/>
      <c r="AF855" s="229"/>
      <c r="AG855" s="229"/>
      <c r="AH855" s="238"/>
      <c r="AI855" s="240"/>
      <c r="AJ855" s="229"/>
      <c r="AK855" s="231"/>
      <c r="AL855" s="229"/>
      <c r="AM855" s="229"/>
      <c r="AN855" s="229"/>
      <c r="AO855" s="229"/>
      <c r="AP855" s="229"/>
      <c r="AQ855" s="229"/>
      <c r="AR855" s="229"/>
      <c r="AS855" s="229"/>
      <c r="AT855" s="229"/>
      <c r="AU855" s="229"/>
      <c r="AV855" s="229"/>
      <c r="AW855" s="5"/>
      <c r="AX855" s="5"/>
      <c r="AY855" s="5"/>
      <c r="AZ855" s="5"/>
      <c r="BA855" s="5"/>
      <c r="BB855" s="5"/>
      <c r="BC855" s="5"/>
      <c r="BD855" s="5"/>
      <c r="BE855" s="5"/>
      <c r="BF855" s="5"/>
      <c r="BG855" s="5"/>
    </row>
    <row r="856" customFormat="false" ht="1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AE856" s="229"/>
      <c r="AF856" s="229"/>
      <c r="AG856" s="229"/>
      <c r="AH856" s="238"/>
      <c r="AI856" s="240"/>
      <c r="AJ856" s="229"/>
      <c r="AK856" s="231"/>
      <c r="AL856" s="229"/>
      <c r="AM856" s="229"/>
      <c r="AN856" s="229"/>
      <c r="AO856" s="229"/>
      <c r="AP856" s="229"/>
      <c r="AQ856" s="229"/>
      <c r="AR856" s="229"/>
      <c r="AS856" s="229"/>
      <c r="AT856" s="229"/>
      <c r="AU856" s="229"/>
      <c r="AV856" s="229"/>
      <c r="AW856" s="5"/>
      <c r="AX856" s="5"/>
      <c r="AY856" s="5"/>
      <c r="AZ856" s="5"/>
      <c r="BA856" s="5"/>
      <c r="BB856" s="5"/>
      <c r="BC856" s="5"/>
      <c r="BD856" s="5"/>
      <c r="BE856" s="5"/>
      <c r="BF856" s="5"/>
      <c r="BG856" s="5"/>
    </row>
    <row r="857" customFormat="false" ht="1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68"/>
      <c r="V857" s="68"/>
      <c r="W857" s="68"/>
      <c r="X857" s="68"/>
      <c r="Y857" s="68"/>
      <c r="Z857" s="68"/>
      <c r="AA857" s="68"/>
      <c r="AB857" s="68"/>
      <c r="AC857" s="68"/>
      <c r="AD857" s="68"/>
      <c r="AE857" s="229"/>
      <c r="AF857" s="229"/>
      <c r="AG857" s="229"/>
      <c r="AH857" s="238"/>
      <c r="AI857" s="240"/>
      <c r="AJ857" s="229"/>
      <c r="AK857" s="231"/>
      <c r="AL857" s="229"/>
      <c r="AM857" s="229"/>
      <c r="AN857" s="229"/>
      <c r="AO857" s="229"/>
      <c r="AP857" s="229"/>
      <c r="AQ857" s="229"/>
      <c r="AR857" s="229"/>
      <c r="AS857" s="229"/>
      <c r="AT857" s="229"/>
      <c r="AU857" s="229"/>
      <c r="AV857" s="229"/>
      <c r="AW857" s="5"/>
      <c r="AX857" s="5"/>
      <c r="AY857" s="5"/>
      <c r="AZ857" s="5"/>
      <c r="BA857" s="5"/>
      <c r="BB857" s="5"/>
      <c r="BC857" s="5"/>
      <c r="BD857" s="5"/>
      <c r="BE857" s="5"/>
      <c r="BF857" s="5"/>
      <c r="BG857" s="5"/>
    </row>
    <row r="858" customFormat="false" ht="1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68"/>
      <c r="V858" s="68"/>
      <c r="W858" s="68"/>
      <c r="X858" s="68"/>
      <c r="Y858" s="68"/>
      <c r="Z858" s="68"/>
      <c r="AA858" s="68"/>
      <c r="AB858" s="68"/>
      <c r="AC858" s="68"/>
      <c r="AD858" s="68"/>
      <c r="AE858" s="229"/>
      <c r="AF858" s="229"/>
      <c r="AG858" s="229"/>
      <c r="AH858" s="238"/>
      <c r="AI858" s="240"/>
      <c r="AJ858" s="229"/>
      <c r="AK858" s="231"/>
      <c r="AL858" s="229"/>
      <c r="AM858" s="229"/>
      <c r="AN858" s="229"/>
      <c r="AO858" s="229"/>
      <c r="AP858" s="229"/>
      <c r="AQ858" s="229"/>
      <c r="AR858" s="229"/>
      <c r="AS858" s="229"/>
      <c r="AT858" s="229"/>
      <c r="AU858" s="229"/>
      <c r="AV858" s="229"/>
      <c r="AW858" s="5"/>
      <c r="AX858" s="5"/>
      <c r="AY858" s="5"/>
      <c r="AZ858" s="5"/>
      <c r="BA858" s="5"/>
      <c r="BB858" s="5"/>
      <c r="BC858" s="5"/>
      <c r="BD858" s="5"/>
      <c r="BE858" s="5"/>
      <c r="BF858" s="5"/>
      <c r="BG858" s="5"/>
    </row>
    <row r="859" customFormat="false" ht="1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68"/>
      <c r="V859" s="68"/>
      <c r="W859" s="68"/>
      <c r="X859" s="68"/>
      <c r="Y859" s="68"/>
      <c r="Z859" s="68"/>
      <c r="AA859" s="68"/>
      <c r="AB859" s="68"/>
      <c r="AC859" s="68"/>
      <c r="AD859" s="68"/>
      <c r="AE859" s="229"/>
      <c r="AF859" s="229"/>
      <c r="AG859" s="229"/>
      <c r="AH859" s="238"/>
      <c r="AI859" s="240"/>
      <c r="AJ859" s="229"/>
      <c r="AK859" s="231"/>
      <c r="AL859" s="229"/>
      <c r="AM859" s="229"/>
      <c r="AN859" s="229"/>
      <c r="AO859" s="229"/>
      <c r="AP859" s="229"/>
      <c r="AQ859" s="229"/>
      <c r="AR859" s="229"/>
      <c r="AS859" s="229"/>
      <c r="AT859" s="229"/>
      <c r="AU859" s="229"/>
      <c r="AV859" s="229"/>
      <c r="AW859" s="5"/>
      <c r="AX859" s="5"/>
      <c r="AY859" s="5"/>
      <c r="AZ859" s="5"/>
      <c r="BA859" s="5"/>
      <c r="BB859" s="5"/>
      <c r="BC859" s="5"/>
      <c r="BD859" s="5"/>
      <c r="BE859" s="5"/>
      <c r="BF859" s="5"/>
      <c r="BG859" s="5"/>
    </row>
    <row r="860" customFormat="false" ht="1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68"/>
      <c r="V860" s="68"/>
      <c r="W860" s="68"/>
      <c r="X860" s="68"/>
      <c r="Y860" s="68"/>
      <c r="Z860" s="68"/>
      <c r="AA860" s="68"/>
      <c r="AB860" s="68"/>
      <c r="AC860" s="68"/>
      <c r="AD860" s="68"/>
      <c r="AE860" s="229"/>
      <c r="AF860" s="229"/>
      <c r="AG860" s="229"/>
      <c r="AH860" s="238"/>
      <c r="AI860" s="240"/>
      <c r="AJ860" s="229"/>
      <c r="AK860" s="231"/>
      <c r="AL860" s="229"/>
      <c r="AM860" s="229"/>
      <c r="AN860" s="229"/>
      <c r="AO860" s="229"/>
      <c r="AP860" s="229"/>
      <c r="AQ860" s="229"/>
      <c r="AR860" s="229"/>
      <c r="AS860" s="229"/>
      <c r="AT860" s="229"/>
      <c r="AU860" s="229"/>
      <c r="AV860" s="229"/>
      <c r="AW860" s="5"/>
      <c r="AX860" s="5"/>
      <c r="AY860" s="5"/>
      <c r="AZ860" s="5"/>
      <c r="BA860" s="5"/>
      <c r="BB860" s="5"/>
      <c r="BC860" s="5"/>
      <c r="BD860" s="5"/>
      <c r="BE860" s="5"/>
      <c r="BF860" s="5"/>
      <c r="BG860" s="5"/>
    </row>
    <row r="861" customFormat="false" ht="1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68"/>
      <c r="V861" s="68"/>
      <c r="W861" s="68"/>
      <c r="X861" s="68"/>
      <c r="Y861" s="68"/>
      <c r="Z861" s="68"/>
      <c r="AA861" s="68"/>
      <c r="AB861" s="68"/>
      <c r="AC861" s="68"/>
      <c r="AD861" s="68"/>
      <c r="AE861" s="229"/>
      <c r="AF861" s="229"/>
      <c r="AG861" s="229"/>
      <c r="AH861" s="238"/>
      <c r="AI861" s="240"/>
      <c r="AJ861" s="229"/>
      <c r="AK861" s="231"/>
      <c r="AL861" s="229"/>
      <c r="AM861" s="229"/>
      <c r="AN861" s="229"/>
      <c r="AO861" s="229"/>
      <c r="AP861" s="229"/>
      <c r="AQ861" s="229"/>
      <c r="AR861" s="229"/>
      <c r="AS861" s="229"/>
      <c r="AT861" s="229"/>
      <c r="AU861" s="229"/>
      <c r="AV861" s="229"/>
      <c r="AW861" s="5"/>
      <c r="AX861" s="5"/>
      <c r="AY861" s="5"/>
      <c r="AZ861" s="5"/>
      <c r="BA861" s="5"/>
      <c r="BB861" s="5"/>
      <c r="BC861" s="5"/>
      <c r="BD861" s="5"/>
      <c r="BE861" s="5"/>
      <c r="BF861" s="5"/>
      <c r="BG861" s="5"/>
    </row>
    <row r="862" customFormat="false" ht="1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68"/>
      <c r="V862" s="68"/>
      <c r="W862" s="68"/>
      <c r="X862" s="68"/>
      <c r="Y862" s="68"/>
      <c r="Z862" s="68"/>
      <c r="AA862" s="68"/>
      <c r="AB862" s="68"/>
      <c r="AC862" s="68"/>
      <c r="AD862" s="68"/>
      <c r="AE862" s="229"/>
      <c r="AF862" s="229"/>
      <c r="AG862" s="229"/>
      <c r="AH862" s="238"/>
      <c r="AI862" s="240"/>
      <c r="AJ862" s="229"/>
      <c r="AK862" s="231"/>
      <c r="AL862" s="229"/>
      <c r="AM862" s="229"/>
      <c r="AN862" s="229"/>
      <c r="AO862" s="229"/>
      <c r="AP862" s="229"/>
      <c r="AQ862" s="229"/>
      <c r="AR862" s="229"/>
      <c r="AS862" s="229"/>
      <c r="AT862" s="229"/>
      <c r="AU862" s="229"/>
      <c r="AV862" s="229"/>
      <c r="AW862" s="5"/>
      <c r="AX862" s="5"/>
      <c r="AY862" s="5"/>
      <c r="AZ862" s="5"/>
      <c r="BA862" s="5"/>
      <c r="BB862" s="5"/>
      <c r="BC862" s="5"/>
      <c r="BD862" s="5"/>
      <c r="BE862" s="5"/>
      <c r="BF862" s="5"/>
      <c r="BG862" s="5"/>
    </row>
    <row r="863" customFormat="false" ht="1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68"/>
      <c r="V863" s="68"/>
      <c r="W863" s="68"/>
      <c r="X863" s="68"/>
      <c r="Y863" s="68"/>
      <c r="Z863" s="68"/>
      <c r="AA863" s="68"/>
      <c r="AB863" s="68"/>
      <c r="AC863" s="68"/>
      <c r="AD863" s="68"/>
      <c r="AE863" s="229"/>
      <c r="AF863" s="229"/>
      <c r="AG863" s="229"/>
      <c r="AH863" s="238"/>
      <c r="AI863" s="240"/>
      <c r="AJ863" s="229"/>
      <c r="AK863" s="231"/>
      <c r="AL863" s="229"/>
      <c r="AM863" s="229"/>
      <c r="AN863" s="229"/>
      <c r="AO863" s="229"/>
      <c r="AP863" s="229"/>
      <c r="AQ863" s="229"/>
      <c r="AR863" s="229"/>
      <c r="AS863" s="229"/>
      <c r="AT863" s="229"/>
      <c r="AU863" s="229"/>
      <c r="AV863" s="229"/>
      <c r="AW863" s="5"/>
      <c r="AX863" s="5"/>
      <c r="AY863" s="5"/>
      <c r="AZ863" s="5"/>
      <c r="BA863" s="5"/>
      <c r="BB863" s="5"/>
      <c r="BC863" s="5"/>
      <c r="BD863" s="5"/>
      <c r="BE863" s="5"/>
      <c r="BF863" s="5"/>
      <c r="BG863" s="5"/>
    </row>
    <row r="864" customFormat="false" ht="1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68"/>
      <c r="V864" s="68"/>
      <c r="W864" s="68"/>
      <c r="X864" s="68"/>
      <c r="Y864" s="68"/>
      <c r="Z864" s="68"/>
      <c r="AA864" s="68"/>
      <c r="AB864" s="68"/>
      <c r="AC864" s="68"/>
      <c r="AD864" s="68"/>
      <c r="AE864" s="229"/>
      <c r="AF864" s="229"/>
      <c r="AG864" s="229"/>
      <c r="AH864" s="238"/>
      <c r="AI864" s="240"/>
      <c r="AJ864" s="229"/>
      <c r="AK864" s="231"/>
      <c r="AL864" s="229"/>
      <c r="AM864" s="229"/>
      <c r="AN864" s="229"/>
      <c r="AO864" s="229"/>
      <c r="AP864" s="229"/>
      <c r="AQ864" s="229"/>
      <c r="AR864" s="229"/>
      <c r="AS864" s="229"/>
      <c r="AT864" s="229"/>
      <c r="AU864" s="229"/>
      <c r="AV864" s="229"/>
      <c r="AW864" s="5"/>
      <c r="AX864" s="5"/>
      <c r="AY864" s="5"/>
      <c r="AZ864" s="5"/>
      <c r="BA864" s="5"/>
      <c r="BB864" s="5"/>
      <c r="BC864" s="5"/>
      <c r="BD864" s="5"/>
      <c r="BE864" s="5"/>
      <c r="BF864" s="5"/>
      <c r="BG864" s="5"/>
    </row>
    <row r="865" customFormat="false" ht="1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68"/>
      <c r="V865" s="68"/>
      <c r="W865" s="68"/>
      <c r="X865" s="68"/>
      <c r="Y865" s="68"/>
      <c r="Z865" s="68"/>
      <c r="AA865" s="68"/>
      <c r="AB865" s="68"/>
      <c r="AC865" s="68"/>
      <c r="AD865" s="68"/>
      <c r="AE865" s="229"/>
      <c r="AF865" s="229"/>
      <c r="AG865" s="229"/>
      <c r="AH865" s="238"/>
      <c r="AI865" s="240"/>
      <c r="AJ865" s="229"/>
      <c r="AK865" s="231"/>
      <c r="AL865" s="229"/>
      <c r="AM865" s="229"/>
      <c r="AN865" s="229"/>
      <c r="AO865" s="229"/>
      <c r="AP865" s="229"/>
      <c r="AQ865" s="229"/>
      <c r="AR865" s="229"/>
      <c r="AS865" s="229"/>
      <c r="AT865" s="229"/>
      <c r="AU865" s="229"/>
      <c r="AV865" s="229"/>
      <c r="AW865" s="5"/>
      <c r="AX865" s="5"/>
      <c r="AY865" s="5"/>
      <c r="AZ865" s="5"/>
      <c r="BA865" s="5"/>
      <c r="BB865" s="5"/>
      <c r="BC865" s="5"/>
      <c r="BD865" s="5"/>
      <c r="BE865" s="5"/>
      <c r="BF865" s="5"/>
      <c r="BG865" s="5"/>
    </row>
    <row r="866" customFormat="false" ht="1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68"/>
      <c r="V866" s="68"/>
      <c r="W866" s="68"/>
      <c r="X866" s="68"/>
      <c r="Y866" s="68"/>
      <c r="Z866" s="68"/>
      <c r="AA866" s="68"/>
      <c r="AB866" s="68"/>
      <c r="AC866" s="68"/>
      <c r="AD866" s="68"/>
      <c r="AE866" s="229"/>
      <c r="AF866" s="229"/>
      <c r="AG866" s="229"/>
      <c r="AH866" s="238"/>
      <c r="AI866" s="240"/>
      <c r="AJ866" s="229"/>
      <c r="AK866" s="231"/>
      <c r="AL866" s="229"/>
      <c r="AM866" s="229"/>
      <c r="AN866" s="229"/>
      <c r="AO866" s="229"/>
      <c r="AP866" s="229"/>
      <c r="AQ866" s="229"/>
      <c r="AR866" s="229"/>
      <c r="AS866" s="229"/>
      <c r="AT866" s="229"/>
      <c r="AU866" s="229"/>
      <c r="AV866" s="229"/>
      <c r="AW866" s="5"/>
      <c r="AX866" s="5"/>
      <c r="AY866" s="5"/>
      <c r="AZ866" s="5"/>
      <c r="BA866" s="5"/>
      <c r="BB866" s="5"/>
      <c r="BC866" s="5"/>
      <c r="BD866" s="5"/>
      <c r="BE866" s="5"/>
      <c r="BF866" s="5"/>
      <c r="BG866" s="5"/>
    </row>
    <row r="867" customFormat="false" ht="1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68"/>
      <c r="V867" s="68"/>
      <c r="W867" s="68"/>
      <c r="X867" s="68"/>
      <c r="Y867" s="68"/>
      <c r="Z867" s="68"/>
      <c r="AA867" s="68"/>
      <c r="AB867" s="68"/>
      <c r="AC867" s="68"/>
      <c r="AD867" s="68"/>
      <c r="AE867" s="229"/>
      <c r="AF867" s="229"/>
      <c r="AG867" s="229"/>
      <c r="AH867" s="238"/>
      <c r="AI867" s="240"/>
      <c r="AJ867" s="229"/>
      <c r="AK867" s="231"/>
      <c r="AL867" s="229"/>
      <c r="AM867" s="229"/>
      <c r="AN867" s="229"/>
      <c r="AO867" s="229"/>
      <c r="AP867" s="229"/>
      <c r="AQ867" s="229"/>
      <c r="AR867" s="229"/>
      <c r="AS867" s="229"/>
      <c r="AT867" s="229"/>
      <c r="AU867" s="229"/>
      <c r="AV867" s="229"/>
      <c r="AW867" s="5"/>
      <c r="AX867" s="5"/>
      <c r="AY867" s="5"/>
      <c r="AZ867" s="5"/>
      <c r="BA867" s="5"/>
      <c r="BB867" s="5"/>
      <c r="BC867" s="5"/>
      <c r="BD867" s="5"/>
      <c r="BE867" s="5"/>
      <c r="BF867" s="5"/>
      <c r="BG867" s="5"/>
    </row>
    <row r="868" customFormat="false" ht="1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68"/>
      <c r="V868" s="68"/>
      <c r="W868" s="68"/>
      <c r="X868" s="68"/>
      <c r="Y868" s="68"/>
      <c r="Z868" s="68"/>
      <c r="AA868" s="68"/>
      <c r="AB868" s="68"/>
      <c r="AC868" s="68"/>
      <c r="AD868" s="68"/>
      <c r="AE868" s="229"/>
      <c r="AF868" s="229"/>
      <c r="AG868" s="229"/>
      <c r="AH868" s="238"/>
      <c r="AI868" s="240"/>
      <c r="AJ868" s="229"/>
      <c r="AK868" s="231"/>
      <c r="AL868" s="229"/>
      <c r="AM868" s="229"/>
      <c r="AN868" s="229"/>
      <c r="AO868" s="229"/>
      <c r="AP868" s="229"/>
      <c r="AQ868" s="229"/>
      <c r="AR868" s="229"/>
      <c r="AS868" s="229"/>
      <c r="AT868" s="229"/>
      <c r="AU868" s="229"/>
      <c r="AV868" s="229"/>
      <c r="AW868" s="5"/>
      <c r="AX868" s="5"/>
      <c r="AY868" s="5"/>
      <c r="AZ868" s="5"/>
      <c r="BA868" s="5"/>
      <c r="BB868" s="5"/>
      <c r="BC868" s="5"/>
      <c r="BD868" s="5"/>
      <c r="BE868" s="5"/>
      <c r="BF868" s="5"/>
      <c r="BG868" s="5"/>
    </row>
    <row r="869" customFormat="false" ht="1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68"/>
      <c r="V869" s="68"/>
      <c r="W869" s="68"/>
      <c r="X869" s="68"/>
      <c r="Y869" s="68"/>
      <c r="Z869" s="68"/>
      <c r="AA869" s="68"/>
      <c r="AB869" s="68"/>
      <c r="AC869" s="68"/>
      <c r="AD869" s="68"/>
      <c r="AE869" s="229"/>
      <c r="AF869" s="229"/>
      <c r="AG869" s="229"/>
      <c r="AH869" s="238"/>
      <c r="AI869" s="240"/>
      <c r="AJ869" s="229"/>
      <c r="AK869" s="231"/>
      <c r="AL869" s="229"/>
      <c r="AM869" s="229"/>
      <c r="AN869" s="229"/>
      <c r="AO869" s="229"/>
      <c r="AP869" s="229"/>
      <c r="AQ869" s="229"/>
      <c r="AR869" s="229"/>
      <c r="AS869" s="229"/>
      <c r="AT869" s="229"/>
      <c r="AU869" s="229"/>
      <c r="AV869" s="229"/>
      <c r="AW869" s="5"/>
      <c r="AX869" s="5"/>
      <c r="AY869" s="5"/>
      <c r="AZ869" s="5"/>
      <c r="BA869" s="5"/>
      <c r="BB869" s="5"/>
      <c r="BC869" s="5"/>
      <c r="BD869" s="5"/>
      <c r="BE869" s="5"/>
      <c r="BF869" s="5"/>
      <c r="BG869" s="5"/>
    </row>
    <row r="870" customFormat="false" ht="1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68"/>
      <c r="V870" s="68"/>
      <c r="W870" s="68"/>
      <c r="X870" s="68"/>
      <c r="Y870" s="68"/>
      <c r="Z870" s="68"/>
      <c r="AA870" s="68"/>
      <c r="AB870" s="68"/>
      <c r="AC870" s="68"/>
      <c r="AD870" s="68"/>
      <c r="AE870" s="229"/>
      <c r="AF870" s="229"/>
      <c r="AG870" s="229"/>
      <c r="AH870" s="238"/>
      <c r="AI870" s="240"/>
      <c r="AJ870" s="229"/>
      <c r="AK870" s="231"/>
      <c r="AL870" s="229"/>
      <c r="AM870" s="229"/>
      <c r="AN870" s="229"/>
      <c r="AO870" s="229"/>
      <c r="AP870" s="229"/>
      <c r="AQ870" s="229"/>
      <c r="AR870" s="229"/>
      <c r="AS870" s="229"/>
      <c r="AT870" s="229"/>
      <c r="AU870" s="229"/>
      <c r="AV870" s="229"/>
      <c r="AW870" s="5"/>
      <c r="AX870" s="5"/>
      <c r="AY870" s="5"/>
      <c r="AZ870" s="5"/>
      <c r="BA870" s="5"/>
      <c r="BB870" s="5"/>
      <c r="BC870" s="5"/>
      <c r="BD870" s="5"/>
      <c r="BE870" s="5"/>
      <c r="BF870" s="5"/>
      <c r="BG870" s="5"/>
    </row>
    <row r="871" customFormat="false" ht="1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68"/>
      <c r="V871" s="68"/>
      <c r="W871" s="68"/>
      <c r="X871" s="68"/>
      <c r="Y871" s="68"/>
      <c r="Z871" s="68"/>
      <c r="AA871" s="68"/>
      <c r="AB871" s="68"/>
      <c r="AC871" s="68"/>
      <c r="AD871" s="68"/>
      <c r="AE871" s="229"/>
      <c r="AF871" s="229"/>
      <c r="AG871" s="229"/>
      <c r="AH871" s="238"/>
      <c r="AI871" s="240"/>
      <c r="AJ871" s="229"/>
      <c r="AK871" s="231"/>
      <c r="AL871" s="229"/>
      <c r="AM871" s="229"/>
      <c r="AN871" s="229"/>
      <c r="AO871" s="229"/>
      <c r="AP871" s="229"/>
      <c r="AQ871" s="229"/>
      <c r="AR871" s="229"/>
      <c r="AS871" s="229"/>
      <c r="AT871" s="229"/>
      <c r="AU871" s="229"/>
      <c r="AV871" s="229"/>
      <c r="AW871" s="5"/>
      <c r="AX871" s="5"/>
      <c r="AY871" s="5"/>
      <c r="AZ871" s="5"/>
      <c r="BA871" s="5"/>
      <c r="BB871" s="5"/>
      <c r="BC871" s="5"/>
      <c r="BD871" s="5"/>
      <c r="BE871" s="5"/>
      <c r="BF871" s="5"/>
      <c r="BG871" s="5"/>
    </row>
    <row r="872" customFormat="false" ht="1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68"/>
      <c r="V872" s="68"/>
      <c r="W872" s="68"/>
      <c r="X872" s="68"/>
      <c r="Y872" s="68"/>
      <c r="Z872" s="68"/>
      <c r="AA872" s="68"/>
      <c r="AB872" s="68"/>
      <c r="AC872" s="68"/>
      <c r="AD872" s="68"/>
      <c r="AE872" s="229"/>
      <c r="AF872" s="229"/>
      <c r="AG872" s="229"/>
      <c r="AH872" s="238"/>
      <c r="AI872" s="240"/>
      <c r="AJ872" s="229"/>
      <c r="AK872" s="231"/>
      <c r="AL872" s="229"/>
      <c r="AM872" s="229"/>
      <c r="AN872" s="229"/>
      <c r="AO872" s="229"/>
      <c r="AP872" s="229"/>
      <c r="AQ872" s="229"/>
      <c r="AR872" s="229"/>
      <c r="AS872" s="229"/>
      <c r="AT872" s="229"/>
      <c r="AU872" s="229"/>
      <c r="AV872" s="229"/>
      <c r="AW872" s="5"/>
      <c r="AX872" s="5"/>
      <c r="AY872" s="5"/>
      <c r="AZ872" s="5"/>
      <c r="BA872" s="5"/>
      <c r="BB872" s="5"/>
      <c r="BC872" s="5"/>
      <c r="BD872" s="5"/>
      <c r="BE872" s="5"/>
      <c r="BF872" s="5"/>
      <c r="BG872" s="5"/>
    </row>
    <row r="873" customFormat="false" ht="1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68"/>
      <c r="V873" s="68"/>
      <c r="W873" s="68"/>
      <c r="X873" s="68"/>
      <c r="Y873" s="68"/>
      <c r="Z873" s="68"/>
      <c r="AA873" s="68"/>
      <c r="AB873" s="68"/>
      <c r="AC873" s="68"/>
      <c r="AD873" s="68"/>
      <c r="AE873" s="229"/>
      <c r="AF873" s="229"/>
      <c r="AG873" s="229"/>
      <c r="AH873" s="238"/>
      <c r="AI873" s="240"/>
      <c r="AJ873" s="229"/>
      <c r="AK873" s="231"/>
      <c r="AL873" s="229"/>
      <c r="AM873" s="229"/>
      <c r="AN873" s="229"/>
      <c r="AO873" s="229"/>
      <c r="AP873" s="229"/>
      <c r="AQ873" s="229"/>
      <c r="AR873" s="229"/>
      <c r="AS873" s="229"/>
      <c r="AT873" s="229"/>
      <c r="AU873" s="229"/>
      <c r="AV873" s="229"/>
      <c r="AW873" s="5"/>
      <c r="AX873" s="5"/>
      <c r="AY873" s="5"/>
      <c r="AZ873" s="5"/>
      <c r="BA873" s="5"/>
      <c r="BB873" s="5"/>
      <c r="BC873" s="5"/>
      <c r="BD873" s="5"/>
      <c r="BE873" s="5"/>
      <c r="BF873" s="5"/>
      <c r="BG873" s="5"/>
    </row>
    <row r="874" customFormat="false" ht="1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68"/>
      <c r="V874" s="68"/>
      <c r="W874" s="68"/>
      <c r="X874" s="68"/>
      <c r="Y874" s="68"/>
      <c r="Z874" s="68"/>
      <c r="AA874" s="68"/>
      <c r="AB874" s="68"/>
      <c r="AC874" s="68"/>
      <c r="AD874" s="68"/>
      <c r="AE874" s="229"/>
      <c r="AF874" s="229"/>
      <c r="AG874" s="229"/>
      <c r="AH874" s="238"/>
      <c r="AI874" s="240"/>
      <c r="AJ874" s="229"/>
      <c r="AK874" s="231"/>
      <c r="AL874" s="229"/>
      <c r="AM874" s="229"/>
      <c r="AN874" s="229"/>
      <c r="AO874" s="229"/>
      <c r="AP874" s="229"/>
      <c r="AQ874" s="229"/>
      <c r="AR874" s="229"/>
      <c r="AS874" s="229"/>
      <c r="AT874" s="229"/>
      <c r="AU874" s="229"/>
      <c r="AV874" s="229"/>
      <c r="AW874" s="5"/>
      <c r="AX874" s="5"/>
      <c r="AY874" s="5"/>
      <c r="AZ874" s="5"/>
      <c r="BA874" s="5"/>
      <c r="BB874" s="5"/>
      <c r="BC874" s="5"/>
      <c r="BD874" s="5"/>
      <c r="BE874" s="5"/>
      <c r="BF874" s="5"/>
      <c r="BG874" s="5"/>
    </row>
    <row r="875" customFormat="false" ht="1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68"/>
      <c r="V875" s="68"/>
      <c r="W875" s="68"/>
      <c r="X875" s="68"/>
      <c r="Y875" s="68"/>
      <c r="Z875" s="68"/>
      <c r="AA875" s="68"/>
      <c r="AB875" s="68"/>
      <c r="AC875" s="68"/>
      <c r="AD875" s="68"/>
      <c r="AE875" s="229"/>
      <c r="AF875" s="229"/>
      <c r="AG875" s="229"/>
      <c r="AH875" s="238"/>
      <c r="AI875" s="240"/>
      <c r="AJ875" s="229"/>
      <c r="AK875" s="231"/>
      <c r="AL875" s="229"/>
      <c r="AM875" s="229"/>
      <c r="AN875" s="229"/>
      <c r="AO875" s="229"/>
      <c r="AP875" s="229"/>
      <c r="AQ875" s="229"/>
      <c r="AR875" s="229"/>
      <c r="AS875" s="229"/>
      <c r="AT875" s="229"/>
      <c r="AU875" s="229"/>
      <c r="AV875" s="229"/>
      <c r="AW875" s="5"/>
      <c r="AX875" s="5"/>
      <c r="AY875" s="5"/>
      <c r="AZ875" s="5"/>
      <c r="BA875" s="5"/>
      <c r="BB875" s="5"/>
      <c r="BC875" s="5"/>
      <c r="BD875" s="5"/>
      <c r="BE875" s="5"/>
      <c r="BF875" s="5"/>
      <c r="BG875" s="5"/>
    </row>
    <row r="876" customFormat="false" ht="1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68"/>
      <c r="V876" s="68"/>
      <c r="W876" s="68"/>
      <c r="X876" s="68"/>
      <c r="Y876" s="68"/>
      <c r="Z876" s="68"/>
      <c r="AA876" s="68"/>
      <c r="AB876" s="68"/>
      <c r="AC876" s="68"/>
      <c r="AD876" s="68"/>
      <c r="AE876" s="229"/>
      <c r="AF876" s="229"/>
      <c r="AG876" s="229"/>
      <c r="AH876" s="238"/>
      <c r="AI876" s="240"/>
      <c r="AJ876" s="229"/>
      <c r="AK876" s="231"/>
      <c r="AL876" s="229"/>
      <c r="AM876" s="229"/>
      <c r="AN876" s="229"/>
      <c r="AO876" s="229"/>
      <c r="AP876" s="229"/>
      <c r="AQ876" s="229"/>
      <c r="AR876" s="229"/>
      <c r="AS876" s="229"/>
      <c r="AT876" s="229"/>
      <c r="AU876" s="229"/>
      <c r="AV876" s="229"/>
      <c r="AW876" s="5"/>
      <c r="AX876" s="5"/>
      <c r="AY876" s="5"/>
      <c r="AZ876" s="5"/>
      <c r="BA876" s="5"/>
      <c r="BB876" s="5"/>
      <c r="BC876" s="5"/>
      <c r="BD876" s="5"/>
      <c r="BE876" s="5"/>
      <c r="BF876" s="5"/>
      <c r="BG876" s="5"/>
    </row>
    <row r="877" customFormat="false" ht="1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68"/>
      <c r="V877" s="68"/>
      <c r="W877" s="68"/>
      <c r="X877" s="68"/>
      <c r="Y877" s="68"/>
      <c r="Z877" s="68"/>
      <c r="AA877" s="68"/>
      <c r="AB877" s="68"/>
      <c r="AC877" s="68"/>
      <c r="AD877" s="68"/>
      <c r="AE877" s="229"/>
      <c r="AF877" s="229"/>
      <c r="AG877" s="229"/>
      <c r="AH877" s="238"/>
      <c r="AI877" s="240"/>
      <c r="AJ877" s="229"/>
      <c r="AK877" s="231"/>
      <c r="AL877" s="229"/>
      <c r="AM877" s="229"/>
      <c r="AN877" s="229"/>
      <c r="AO877" s="229"/>
      <c r="AP877" s="229"/>
      <c r="AQ877" s="229"/>
      <c r="AR877" s="229"/>
      <c r="AS877" s="229"/>
      <c r="AT877" s="229"/>
      <c r="AU877" s="229"/>
      <c r="AV877" s="229"/>
      <c r="AW877" s="5"/>
      <c r="AX877" s="5"/>
      <c r="AY877" s="5"/>
      <c r="AZ877" s="5"/>
      <c r="BA877" s="5"/>
      <c r="BB877" s="5"/>
      <c r="BC877" s="5"/>
      <c r="BD877" s="5"/>
      <c r="BE877" s="5"/>
      <c r="BF877" s="5"/>
      <c r="BG877" s="5"/>
    </row>
    <row r="878" customFormat="false" ht="1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68"/>
      <c r="V878" s="68"/>
      <c r="W878" s="68"/>
      <c r="X878" s="68"/>
      <c r="Y878" s="68"/>
      <c r="Z878" s="68"/>
      <c r="AA878" s="68"/>
      <c r="AB878" s="68"/>
      <c r="AC878" s="68"/>
      <c r="AD878" s="68"/>
      <c r="AE878" s="229"/>
      <c r="AF878" s="229"/>
      <c r="AG878" s="229"/>
      <c r="AH878" s="238"/>
      <c r="AI878" s="240"/>
      <c r="AJ878" s="229"/>
      <c r="AK878" s="231"/>
      <c r="AL878" s="229"/>
      <c r="AM878" s="229"/>
      <c r="AN878" s="229"/>
      <c r="AO878" s="229"/>
      <c r="AP878" s="229"/>
      <c r="AQ878" s="229"/>
      <c r="AR878" s="229"/>
      <c r="AS878" s="229"/>
      <c r="AT878" s="229"/>
      <c r="AU878" s="229"/>
      <c r="AV878" s="229"/>
      <c r="AW878" s="5"/>
      <c r="AX878" s="5"/>
      <c r="AY878" s="5"/>
      <c r="AZ878" s="5"/>
      <c r="BA878" s="5"/>
      <c r="BB878" s="5"/>
      <c r="BC878" s="5"/>
      <c r="BD878" s="5"/>
      <c r="BE878" s="5"/>
      <c r="BF878" s="5"/>
      <c r="BG878" s="5"/>
    </row>
    <row r="879" customFormat="false" ht="1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68"/>
      <c r="V879" s="68"/>
      <c r="W879" s="68"/>
      <c r="X879" s="68"/>
      <c r="Y879" s="68"/>
      <c r="Z879" s="68"/>
      <c r="AA879" s="68"/>
      <c r="AB879" s="68"/>
      <c r="AC879" s="68"/>
      <c r="AD879" s="68"/>
      <c r="AE879" s="229"/>
      <c r="AF879" s="229"/>
      <c r="AG879" s="229"/>
      <c r="AH879" s="238"/>
      <c r="AI879" s="240"/>
      <c r="AJ879" s="229"/>
      <c r="AK879" s="231"/>
      <c r="AL879" s="229"/>
      <c r="AM879" s="229"/>
      <c r="AN879" s="229"/>
      <c r="AO879" s="229"/>
      <c r="AP879" s="229"/>
      <c r="AQ879" s="229"/>
      <c r="AR879" s="229"/>
      <c r="AS879" s="229"/>
      <c r="AT879" s="229"/>
      <c r="AU879" s="229"/>
      <c r="AV879" s="229"/>
      <c r="AW879" s="5"/>
      <c r="AX879" s="5"/>
      <c r="AY879" s="5"/>
      <c r="AZ879" s="5"/>
      <c r="BA879" s="5"/>
      <c r="BB879" s="5"/>
      <c r="BC879" s="5"/>
      <c r="BD879" s="5"/>
      <c r="BE879" s="5"/>
      <c r="BF879" s="5"/>
      <c r="BG879" s="5"/>
    </row>
    <row r="880" customFormat="false" ht="1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68"/>
      <c r="V880" s="68"/>
      <c r="W880" s="68"/>
      <c r="X880" s="68"/>
      <c r="Y880" s="68"/>
      <c r="Z880" s="68"/>
      <c r="AA880" s="68"/>
      <c r="AB880" s="68"/>
      <c r="AC880" s="68"/>
      <c r="AD880" s="68"/>
      <c r="AE880" s="229"/>
      <c r="AF880" s="229"/>
      <c r="AG880" s="229"/>
      <c r="AH880" s="238"/>
      <c r="AI880" s="240"/>
      <c r="AJ880" s="229"/>
      <c r="AK880" s="231"/>
      <c r="AL880" s="229"/>
      <c r="AM880" s="229"/>
      <c r="AN880" s="229"/>
      <c r="AO880" s="229"/>
      <c r="AP880" s="229"/>
      <c r="AQ880" s="229"/>
      <c r="AR880" s="229"/>
      <c r="AS880" s="229"/>
      <c r="AT880" s="229"/>
      <c r="AU880" s="229"/>
      <c r="AV880" s="229"/>
      <c r="AW880" s="5"/>
      <c r="AX880" s="5"/>
      <c r="AY880" s="5"/>
      <c r="AZ880" s="5"/>
      <c r="BA880" s="5"/>
      <c r="BB880" s="5"/>
      <c r="BC880" s="5"/>
      <c r="BD880" s="5"/>
      <c r="BE880" s="5"/>
      <c r="BF880" s="5"/>
      <c r="BG880" s="5"/>
    </row>
    <row r="881" customFormat="false" ht="1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68"/>
      <c r="V881" s="68"/>
      <c r="W881" s="68"/>
      <c r="X881" s="68"/>
      <c r="Y881" s="68"/>
      <c r="Z881" s="68"/>
      <c r="AA881" s="68"/>
      <c r="AB881" s="68"/>
      <c r="AC881" s="68"/>
      <c r="AD881" s="68"/>
      <c r="AE881" s="229"/>
      <c r="AF881" s="229"/>
      <c r="AG881" s="229"/>
      <c r="AH881" s="238"/>
      <c r="AI881" s="240"/>
      <c r="AJ881" s="229"/>
      <c r="AK881" s="231"/>
      <c r="AL881" s="229"/>
      <c r="AM881" s="229"/>
      <c r="AN881" s="229"/>
      <c r="AO881" s="229"/>
      <c r="AP881" s="229"/>
      <c r="AQ881" s="229"/>
      <c r="AR881" s="229"/>
      <c r="AS881" s="229"/>
      <c r="AT881" s="229"/>
      <c r="AU881" s="229"/>
      <c r="AV881" s="229"/>
      <c r="AW881" s="5"/>
      <c r="AX881" s="5"/>
      <c r="AY881" s="5"/>
      <c r="AZ881" s="5"/>
      <c r="BA881" s="5"/>
      <c r="BB881" s="5"/>
      <c r="BC881" s="5"/>
      <c r="BD881" s="5"/>
      <c r="BE881" s="5"/>
      <c r="BF881" s="5"/>
      <c r="BG881" s="5"/>
    </row>
    <row r="882" customFormat="false" ht="1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68"/>
      <c r="V882" s="68"/>
      <c r="W882" s="68"/>
      <c r="X882" s="68"/>
      <c r="Y882" s="68"/>
      <c r="Z882" s="68"/>
      <c r="AA882" s="68"/>
      <c r="AB882" s="68"/>
      <c r="AC882" s="68"/>
      <c r="AD882" s="68"/>
      <c r="AE882" s="229"/>
      <c r="AF882" s="229"/>
      <c r="AG882" s="229"/>
      <c r="AH882" s="238"/>
      <c r="AI882" s="240"/>
      <c r="AJ882" s="229"/>
      <c r="AK882" s="231"/>
      <c r="AL882" s="229"/>
      <c r="AM882" s="229"/>
      <c r="AN882" s="229"/>
      <c r="AO882" s="229"/>
      <c r="AP882" s="229"/>
      <c r="AQ882" s="229"/>
      <c r="AR882" s="229"/>
      <c r="AS882" s="229"/>
      <c r="AT882" s="229"/>
      <c r="AU882" s="229"/>
      <c r="AV882" s="229"/>
      <c r="AW882" s="5"/>
      <c r="AX882" s="5"/>
      <c r="AY882" s="5"/>
      <c r="AZ882" s="5"/>
      <c r="BA882" s="5"/>
      <c r="BB882" s="5"/>
      <c r="BC882" s="5"/>
      <c r="BD882" s="5"/>
      <c r="BE882" s="5"/>
      <c r="BF882" s="5"/>
      <c r="BG882" s="5"/>
    </row>
    <row r="883" customFormat="false" ht="1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68"/>
      <c r="V883" s="68"/>
      <c r="W883" s="68"/>
      <c r="X883" s="68"/>
      <c r="Y883" s="68"/>
      <c r="Z883" s="68"/>
      <c r="AA883" s="68"/>
      <c r="AB883" s="68"/>
      <c r="AC883" s="68"/>
      <c r="AD883" s="68"/>
      <c r="AE883" s="229"/>
      <c r="AF883" s="229"/>
      <c r="AG883" s="229"/>
      <c r="AH883" s="238"/>
      <c r="AI883" s="240"/>
      <c r="AJ883" s="229"/>
      <c r="AK883" s="231"/>
      <c r="AL883" s="229"/>
      <c r="AM883" s="229"/>
      <c r="AN883" s="229"/>
      <c r="AO883" s="229"/>
      <c r="AP883" s="229"/>
      <c r="AQ883" s="229"/>
      <c r="AR883" s="229"/>
      <c r="AS883" s="229"/>
      <c r="AT883" s="229"/>
      <c r="AU883" s="229"/>
      <c r="AV883" s="229"/>
      <c r="AW883" s="5"/>
      <c r="AX883" s="5"/>
      <c r="AY883" s="5"/>
      <c r="AZ883" s="5"/>
      <c r="BA883" s="5"/>
      <c r="BB883" s="5"/>
      <c r="BC883" s="5"/>
      <c r="BD883" s="5"/>
      <c r="BE883" s="5"/>
      <c r="BF883" s="5"/>
      <c r="BG883" s="5"/>
    </row>
    <row r="884" customFormat="false" ht="1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68"/>
      <c r="V884" s="68"/>
      <c r="W884" s="68"/>
      <c r="X884" s="68"/>
      <c r="Y884" s="68"/>
      <c r="Z884" s="68"/>
      <c r="AA884" s="68"/>
      <c r="AB884" s="68"/>
      <c r="AC884" s="68"/>
      <c r="AD884" s="68"/>
      <c r="AE884" s="229"/>
      <c r="AF884" s="229"/>
      <c r="AG884" s="229"/>
      <c r="AH884" s="238"/>
      <c r="AI884" s="240"/>
      <c r="AJ884" s="229"/>
      <c r="AK884" s="231"/>
      <c r="AL884" s="229"/>
      <c r="AM884" s="229"/>
      <c r="AN884" s="229"/>
      <c r="AO884" s="229"/>
      <c r="AP884" s="229"/>
      <c r="AQ884" s="229"/>
      <c r="AR884" s="229"/>
      <c r="AS884" s="229"/>
      <c r="AT884" s="229"/>
      <c r="AU884" s="229"/>
      <c r="AV884" s="229"/>
      <c r="AW884" s="5"/>
      <c r="AX884" s="5"/>
      <c r="AY884" s="5"/>
      <c r="AZ884" s="5"/>
      <c r="BA884" s="5"/>
      <c r="BB884" s="5"/>
      <c r="BC884" s="5"/>
      <c r="BD884" s="5"/>
      <c r="BE884" s="5"/>
      <c r="BF884" s="5"/>
      <c r="BG884" s="5"/>
    </row>
    <row r="885" customFormat="false" ht="1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68"/>
      <c r="V885" s="68"/>
      <c r="W885" s="68"/>
      <c r="X885" s="68"/>
      <c r="Y885" s="68"/>
      <c r="Z885" s="68"/>
      <c r="AA885" s="68"/>
      <c r="AB885" s="68"/>
      <c r="AC885" s="68"/>
      <c r="AD885" s="68"/>
      <c r="AE885" s="229"/>
      <c r="AF885" s="229"/>
      <c r="AG885" s="229"/>
      <c r="AH885" s="238"/>
      <c r="AI885" s="240"/>
      <c r="AJ885" s="229"/>
      <c r="AK885" s="231"/>
      <c r="AL885" s="229"/>
      <c r="AM885" s="229"/>
      <c r="AN885" s="229"/>
      <c r="AO885" s="229"/>
      <c r="AP885" s="229"/>
      <c r="AQ885" s="229"/>
      <c r="AR885" s="229"/>
      <c r="AS885" s="229"/>
      <c r="AT885" s="229"/>
      <c r="AU885" s="229"/>
      <c r="AV885" s="229"/>
      <c r="AW885" s="5"/>
      <c r="AX885" s="5"/>
      <c r="AY885" s="5"/>
      <c r="AZ885" s="5"/>
      <c r="BA885" s="5"/>
      <c r="BB885" s="5"/>
      <c r="BC885" s="5"/>
      <c r="BD885" s="5"/>
      <c r="BE885" s="5"/>
      <c r="BF885" s="5"/>
      <c r="BG885" s="5"/>
    </row>
    <row r="886" customFormat="false" ht="1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68"/>
      <c r="V886" s="68"/>
      <c r="W886" s="68"/>
      <c r="X886" s="68"/>
      <c r="Y886" s="68"/>
      <c r="Z886" s="68"/>
      <c r="AA886" s="68"/>
      <c r="AB886" s="68"/>
      <c r="AC886" s="68"/>
      <c r="AD886" s="68"/>
      <c r="AE886" s="229"/>
      <c r="AF886" s="229"/>
      <c r="AG886" s="229"/>
      <c r="AH886" s="238"/>
      <c r="AI886" s="240"/>
      <c r="AJ886" s="229"/>
      <c r="AK886" s="231"/>
      <c r="AL886" s="229"/>
      <c r="AM886" s="229"/>
      <c r="AN886" s="229"/>
      <c r="AO886" s="229"/>
      <c r="AP886" s="229"/>
      <c r="AQ886" s="229"/>
      <c r="AR886" s="229"/>
      <c r="AS886" s="229"/>
      <c r="AT886" s="229"/>
      <c r="AU886" s="229"/>
      <c r="AV886" s="229"/>
      <c r="AW886" s="5"/>
      <c r="AX886" s="5"/>
      <c r="AY886" s="5"/>
      <c r="AZ886" s="5"/>
      <c r="BA886" s="5"/>
      <c r="BB886" s="5"/>
      <c r="BC886" s="5"/>
      <c r="BD886" s="5"/>
      <c r="BE886" s="5"/>
      <c r="BF886" s="5"/>
      <c r="BG886" s="5"/>
    </row>
    <row r="887" customFormat="false" ht="1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68"/>
      <c r="V887" s="68"/>
      <c r="W887" s="68"/>
      <c r="X887" s="68"/>
      <c r="Y887" s="68"/>
      <c r="Z887" s="68"/>
      <c r="AA887" s="68"/>
      <c r="AB887" s="68"/>
      <c r="AC887" s="68"/>
      <c r="AD887" s="68"/>
      <c r="AE887" s="229"/>
      <c r="AF887" s="229"/>
      <c r="AG887" s="229"/>
      <c r="AH887" s="238"/>
      <c r="AI887" s="240"/>
      <c r="AJ887" s="229"/>
      <c r="AK887" s="231"/>
      <c r="AL887" s="229"/>
      <c r="AM887" s="229"/>
      <c r="AN887" s="229"/>
      <c r="AO887" s="229"/>
      <c r="AP887" s="229"/>
      <c r="AQ887" s="229"/>
      <c r="AR887" s="229"/>
      <c r="AS887" s="229"/>
      <c r="AT887" s="229"/>
      <c r="AU887" s="229"/>
      <c r="AV887" s="229"/>
      <c r="AW887" s="5"/>
      <c r="AX887" s="5"/>
      <c r="AY887" s="5"/>
      <c r="AZ887" s="5"/>
      <c r="BA887" s="5"/>
      <c r="BB887" s="5"/>
      <c r="BC887" s="5"/>
      <c r="BD887" s="5"/>
      <c r="BE887" s="5"/>
      <c r="BF887" s="5"/>
      <c r="BG887" s="5"/>
    </row>
    <row r="888" customFormat="false" ht="1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68"/>
      <c r="V888" s="68"/>
      <c r="W888" s="68"/>
      <c r="X888" s="68"/>
      <c r="Y888" s="68"/>
      <c r="Z888" s="68"/>
      <c r="AA888" s="68"/>
      <c r="AB888" s="68"/>
      <c r="AC888" s="68"/>
      <c r="AD888" s="68"/>
      <c r="AE888" s="229"/>
      <c r="AF888" s="229"/>
      <c r="AG888" s="229"/>
      <c r="AH888" s="238"/>
      <c r="AI888" s="240"/>
      <c r="AJ888" s="229"/>
      <c r="AK888" s="231"/>
      <c r="AL888" s="229"/>
      <c r="AM888" s="229"/>
      <c r="AN888" s="229"/>
      <c r="AO888" s="229"/>
      <c r="AP888" s="229"/>
      <c r="AQ888" s="229"/>
      <c r="AR888" s="229"/>
      <c r="AS888" s="229"/>
      <c r="AT888" s="229"/>
      <c r="AU888" s="229"/>
      <c r="AV888" s="229"/>
      <c r="AW888" s="5"/>
      <c r="AX888" s="5"/>
      <c r="AY888" s="5"/>
      <c r="AZ888" s="5"/>
      <c r="BA888" s="5"/>
      <c r="BB888" s="5"/>
      <c r="BC888" s="5"/>
      <c r="BD888" s="5"/>
      <c r="BE888" s="5"/>
      <c r="BF888" s="5"/>
      <c r="BG888" s="5"/>
    </row>
    <row r="889" customFormat="false" ht="1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68"/>
      <c r="V889" s="68"/>
      <c r="W889" s="68"/>
      <c r="X889" s="68"/>
      <c r="Y889" s="68"/>
      <c r="Z889" s="68"/>
      <c r="AA889" s="68"/>
      <c r="AB889" s="68"/>
      <c r="AC889" s="68"/>
      <c r="AD889" s="68"/>
      <c r="AE889" s="229"/>
      <c r="AF889" s="229"/>
      <c r="AG889" s="229"/>
      <c r="AH889" s="238"/>
      <c r="AI889" s="240"/>
      <c r="AJ889" s="229"/>
      <c r="AK889" s="231"/>
      <c r="AL889" s="229"/>
      <c r="AM889" s="229"/>
      <c r="AN889" s="229"/>
      <c r="AO889" s="229"/>
      <c r="AP889" s="229"/>
      <c r="AQ889" s="229"/>
      <c r="AR889" s="229"/>
      <c r="AS889" s="229"/>
      <c r="AT889" s="229"/>
      <c r="AU889" s="229"/>
      <c r="AV889" s="229"/>
      <c r="AW889" s="5"/>
      <c r="AX889" s="5"/>
      <c r="AY889" s="5"/>
      <c r="AZ889" s="5"/>
      <c r="BA889" s="5"/>
      <c r="BB889" s="5"/>
      <c r="BC889" s="5"/>
      <c r="BD889" s="5"/>
      <c r="BE889" s="5"/>
      <c r="BF889" s="5"/>
      <c r="BG889" s="5"/>
    </row>
    <row r="890" customFormat="false" ht="1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68"/>
      <c r="V890" s="68"/>
      <c r="W890" s="68"/>
      <c r="X890" s="68"/>
      <c r="Y890" s="68"/>
      <c r="Z890" s="68"/>
      <c r="AA890" s="68"/>
      <c r="AB890" s="68"/>
      <c r="AC890" s="68"/>
      <c r="AD890" s="68"/>
      <c r="AE890" s="229"/>
      <c r="AF890" s="229"/>
      <c r="AG890" s="229"/>
      <c r="AH890" s="238"/>
      <c r="AI890" s="240"/>
      <c r="AJ890" s="229"/>
      <c r="AK890" s="231"/>
      <c r="AL890" s="229"/>
      <c r="AM890" s="229"/>
      <c r="AN890" s="229"/>
      <c r="AO890" s="229"/>
      <c r="AP890" s="229"/>
      <c r="AQ890" s="229"/>
      <c r="AR890" s="229"/>
      <c r="AS890" s="229"/>
      <c r="AT890" s="229"/>
      <c r="AU890" s="229"/>
      <c r="AV890" s="229"/>
      <c r="AW890" s="5"/>
      <c r="AX890" s="5"/>
      <c r="AY890" s="5"/>
      <c r="AZ890" s="5"/>
      <c r="BA890" s="5"/>
      <c r="BB890" s="5"/>
      <c r="BC890" s="5"/>
      <c r="BD890" s="5"/>
      <c r="BE890" s="5"/>
      <c r="BF890" s="5"/>
      <c r="BG890" s="5"/>
    </row>
    <row r="891" customFormat="false" ht="1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68"/>
      <c r="V891" s="68"/>
      <c r="W891" s="68"/>
      <c r="X891" s="68"/>
      <c r="Y891" s="68"/>
      <c r="Z891" s="68"/>
      <c r="AA891" s="68"/>
      <c r="AB891" s="68"/>
      <c r="AC891" s="68"/>
      <c r="AD891" s="68"/>
      <c r="AE891" s="229"/>
      <c r="AF891" s="229"/>
      <c r="AG891" s="229"/>
      <c r="AH891" s="238"/>
      <c r="AI891" s="240"/>
      <c r="AJ891" s="229"/>
      <c r="AK891" s="231"/>
      <c r="AL891" s="229"/>
      <c r="AM891" s="229"/>
      <c r="AN891" s="229"/>
      <c r="AO891" s="229"/>
      <c r="AP891" s="229"/>
      <c r="AQ891" s="229"/>
      <c r="AR891" s="229"/>
      <c r="AS891" s="229"/>
      <c r="AT891" s="229"/>
      <c r="AU891" s="229"/>
      <c r="AV891" s="229"/>
      <c r="AW891" s="5"/>
      <c r="AX891" s="5"/>
      <c r="AY891" s="5"/>
      <c r="AZ891" s="5"/>
      <c r="BA891" s="5"/>
      <c r="BB891" s="5"/>
      <c r="BC891" s="5"/>
      <c r="BD891" s="5"/>
      <c r="BE891" s="5"/>
      <c r="BF891" s="5"/>
      <c r="BG891" s="5"/>
    </row>
    <row r="892" customFormat="false" ht="1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68"/>
      <c r="V892" s="68"/>
      <c r="W892" s="68"/>
      <c r="X892" s="68"/>
      <c r="Y892" s="68"/>
      <c r="Z892" s="68"/>
      <c r="AA892" s="68"/>
      <c r="AB892" s="68"/>
      <c r="AC892" s="68"/>
      <c r="AD892" s="68"/>
      <c r="AE892" s="229"/>
      <c r="AF892" s="229"/>
      <c r="AG892" s="229"/>
      <c r="AH892" s="238"/>
      <c r="AI892" s="240"/>
      <c r="AJ892" s="229"/>
      <c r="AK892" s="231"/>
      <c r="AL892" s="229"/>
      <c r="AM892" s="229"/>
      <c r="AN892" s="229"/>
      <c r="AO892" s="229"/>
      <c r="AP892" s="229"/>
      <c r="AQ892" s="229"/>
      <c r="AR892" s="229"/>
      <c r="AS892" s="229"/>
      <c r="AT892" s="229"/>
      <c r="AU892" s="229"/>
      <c r="AV892" s="229"/>
      <c r="AW892" s="5"/>
      <c r="AX892" s="5"/>
      <c r="AY892" s="5"/>
      <c r="AZ892" s="5"/>
      <c r="BA892" s="5"/>
      <c r="BB892" s="5"/>
      <c r="BC892" s="5"/>
      <c r="BD892" s="5"/>
      <c r="BE892" s="5"/>
      <c r="BF892" s="5"/>
      <c r="BG892" s="5"/>
    </row>
    <row r="893" customFormat="false" ht="1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68"/>
      <c r="V893" s="68"/>
      <c r="W893" s="68"/>
      <c r="X893" s="68"/>
      <c r="Y893" s="68"/>
      <c r="Z893" s="68"/>
      <c r="AA893" s="68"/>
      <c r="AB893" s="68"/>
      <c r="AC893" s="68"/>
      <c r="AD893" s="68"/>
      <c r="AE893" s="229"/>
      <c r="AF893" s="229"/>
      <c r="AG893" s="229"/>
      <c r="AH893" s="238"/>
      <c r="AI893" s="240"/>
      <c r="AJ893" s="229"/>
      <c r="AK893" s="231"/>
      <c r="AL893" s="229"/>
      <c r="AM893" s="229"/>
      <c r="AN893" s="229"/>
      <c r="AO893" s="229"/>
      <c r="AP893" s="229"/>
      <c r="AQ893" s="229"/>
      <c r="AR893" s="229"/>
      <c r="AS893" s="229"/>
      <c r="AT893" s="229"/>
      <c r="AU893" s="229"/>
      <c r="AV893" s="229"/>
      <c r="AW893" s="5"/>
      <c r="AX893" s="5"/>
      <c r="AY893" s="5"/>
      <c r="AZ893" s="5"/>
      <c r="BA893" s="5"/>
      <c r="BB893" s="5"/>
      <c r="BC893" s="5"/>
      <c r="BD893" s="5"/>
      <c r="BE893" s="5"/>
      <c r="BF893" s="5"/>
      <c r="BG893" s="5"/>
    </row>
    <row r="894" customFormat="false" ht="1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68"/>
      <c r="V894" s="68"/>
      <c r="W894" s="68"/>
      <c r="X894" s="68"/>
      <c r="Y894" s="68"/>
      <c r="Z894" s="68"/>
      <c r="AA894" s="68"/>
      <c r="AB894" s="68"/>
      <c r="AC894" s="68"/>
      <c r="AD894" s="68"/>
      <c r="AE894" s="229"/>
      <c r="AF894" s="229"/>
      <c r="AG894" s="229"/>
      <c r="AH894" s="238"/>
      <c r="AI894" s="240"/>
      <c r="AJ894" s="229"/>
      <c r="AK894" s="231"/>
      <c r="AL894" s="229"/>
      <c r="AM894" s="229"/>
      <c r="AN894" s="229"/>
      <c r="AO894" s="229"/>
      <c r="AP894" s="229"/>
      <c r="AQ894" s="229"/>
      <c r="AR894" s="229"/>
      <c r="AS894" s="229"/>
      <c r="AT894" s="229"/>
      <c r="AU894" s="229"/>
      <c r="AV894" s="229"/>
      <c r="AW894" s="5"/>
      <c r="AX894" s="5"/>
      <c r="AY894" s="5"/>
      <c r="AZ894" s="5"/>
      <c r="BA894" s="5"/>
      <c r="BB894" s="5"/>
      <c r="BC894" s="5"/>
      <c r="BD894" s="5"/>
      <c r="BE894" s="5"/>
      <c r="BF894" s="5"/>
      <c r="BG894" s="5"/>
    </row>
    <row r="895" customFormat="false" ht="1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68"/>
      <c r="V895" s="68"/>
      <c r="W895" s="68"/>
      <c r="X895" s="68"/>
      <c r="Y895" s="68"/>
      <c r="Z895" s="68"/>
      <c r="AA895" s="68"/>
      <c r="AB895" s="68"/>
      <c r="AC895" s="68"/>
      <c r="AD895" s="68"/>
      <c r="AE895" s="229"/>
      <c r="AF895" s="229"/>
      <c r="AG895" s="229"/>
      <c r="AH895" s="238"/>
      <c r="AI895" s="240"/>
      <c r="AJ895" s="229"/>
      <c r="AK895" s="231"/>
      <c r="AL895" s="229"/>
      <c r="AM895" s="229"/>
      <c r="AN895" s="229"/>
      <c r="AO895" s="229"/>
      <c r="AP895" s="229"/>
      <c r="AQ895" s="229"/>
      <c r="AR895" s="229"/>
      <c r="AS895" s="229"/>
      <c r="AT895" s="229"/>
      <c r="AU895" s="229"/>
      <c r="AV895" s="229"/>
      <c r="AW895" s="5"/>
      <c r="AX895" s="5"/>
      <c r="AY895" s="5"/>
      <c r="AZ895" s="5"/>
      <c r="BA895" s="5"/>
      <c r="BB895" s="5"/>
      <c r="BC895" s="5"/>
      <c r="BD895" s="5"/>
      <c r="BE895" s="5"/>
      <c r="BF895" s="5"/>
      <c r="BG895" s="5"/>
    </row>
    <row r="896" customFormat="false" ht="1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68"/>
      <c r="V896" s="68"/>
      <c r="W896" s="68"/>
      <c r="X896" s="68"/>
      <c r="Y896" s="68"/>
      <c r="Z896" s="68"/>
      <c r="AA896" s="68"/>
      <c r="AB896" s="68"/>
      <c r="AC896" s="68"/>
      <c r="AD896" s="68"/>
      <c r="AE896" s="229"/>
      <c r="AF896" s="229"/>
      <c r="AG896" s="229"/>
      <c r="AH896" s="238"/>
      <c r="AI896" s="240"/>
      <c r="AJ896" s="229"/>
      <c r="AK896" s="231"/>
      <c r="AL896" s="229"/>
      <c r="AM896" s="229"/>
      <c r="AN896" s="229"/>
      <c r="AO896" s="229"/>
      <c r="AP896" s="229"/>
      <c r="AQ896" s="229"/>
      <c r="AR896" s="229"/>
      <c r="AS896" s="229"/>
      <c r="AT896" s="229"/>
      <c r="AU896" s="229"/>
      <c r="AV896" s="229"/>
      <c r="AW896" s="5"/>
      <c r="AX896" s="5"/>
      <c r="AY896" s="5"/>
      <c r="AZ896" s="5"/>
      <c r="BA896" s="5"/>
      <c r="BB896" s="5"/>
      <c r="BC896" s="5"/>
      <c r="BD896" s="5"/>
      <c r="BE896" s="5"/>
      <c r="BF896" s="5"/>
      <c r="BG896" s="5"/>
    </row>
  </sheetData>
  <mergeCells count="140">
    <mergeCell ref="A2:Q2"/>
    <mergeCell ref="A5:A6"/>
    <mergeCell ref="B5:B6"/>
    <mergeCell ref="C5:D5"/>
    <mergeCell ref="E5:E6"/>
    <mergeCell ref="F5:F6"/>
    <mergeCell ref="G5:G6"/>
    <mergeCell ref="H5:H6"/>
    <mergeCell ref="I5:I6"/>
    <mergeCell ref="J5:L5"/>
    <mergeCell ref="A58:E60"/>
    <mergeCell ref="A61:C61"/>
    <mergeCell ref="A66:A67"/>
    <mergeCell ref="B66:B67"/>
    <mergeCell ref="C66:D66"/>
    <mergeCell ref="E66:E67"/>
    <mergeCell ref="F66:F67"/>
    <mergeCell ref="G66:G67"/>
    <mergeCell ref="H66:H67"/>
    <mergeCell ref="I66:I67"/>
    <mergeCell ref="J66:K66"/>
    <mergeCell ref="A120:C121"/>
    <mergeCell ref="A125:C125"/>
    <mergeCell ref="A128:A129"/>
    <mergeCell ref="B128:B129"/>
    <mergeCell ref="C128:D128"/>
    <mergeCell ref="E128:E129"/>
    <mergeCell ref="F128:F129"/>
    <mergeCell ref="G128:G129"/>
    <mergeCell ref="H128:H129"/>
    <mergeCell ref="A183:F185"/>
    <mergeCell ref="A187:C187"/>
    <mergeCell ref="A192:A194"/>
    <mergeCell ref="B192:G192"/>
    <mergeCell ref="H192:J193"/>
    <mergeCell ref="B193:D193"/>
    <mergeCell ref="E193:G193"/>
    <mergeCell ref="A200:A201"/>
    <mergeCell ref="B200:C200"/>
    <mergeCell ref="D200:D201"/>
    <mergeCell ref="E200:E201"/>
    <mergeCell ref="F200:F201"/>
    <mergeCell ref="G200:I200"/>
    <mergeCell ref="J200:L200"/>
    <mergeCell ref="M200:O200"/>
    <mergeCell ref="A218:A219"/>
    <mergeCell ref="B218:C218"/>
    <mergeCell ref="D218:D219"/>
    <mergeCell ref="E218:E219"/>
    <mergeCell ref="F218:F219"/>
    <mergeCell ref="G218:G219"/>
    <mergeCell ref="H218:J218"/>
    <mergeCell ref="K218:M218"/>
    <mergeCell ref="N218:P218"/>
    <mergeCell ref="Q218:S218"/>
    <mergeCell ref="A231:E232"/>
    <mergeCell ref="Y234:Y286"/>
    <mergeCell ref="Z234:Z286"/>
    <mergeCell ref="A236:A237"/>
    <mergeCell ref="B236:C236"/>
    <mergeCell ref="D236:D237"/>
    <mergeCell ref="E236:E237"/>
    <mergeCell ref="F236:F237"/>
    <mergeCell ref="G236:G237"/>
    <mergeCell ref="H236:H237"/>
    <mergeCell ref="I236:J236"/>
    <mergeCell ref="A250:E250"/>
    <mergeCell ref="A254:A255"/>
    <mergeCell ref="B254:D254"/>
    <mergeCell ref="E254:G254"/>
    <mergeCell ref="H254:J254"/>
    <mergeCell ref="A272:D272"/>
    <mergeCell ref="A275:A276"/>
    <mergeCell ref="B275:D275"/>
    <mergeCell ref="E275:G275"/>
    <mergeCell ref="H275:J275"/>
    <mergeCell ref="A295:A296"/>
    <mergeCell ref="B295:D295"/>
    <mergeCell ref="E295:G295"/>
    <mergeCell ref="H295:J295"/>
    <mergeCell ref="A306:A307"/>
    <mergeCell ref="B306:C306"/>
    <mergeCell ref="D306:D307"/>
    <mergeCell ref="E306:E307"/>
    <mergeCell ref="F306:F307"/>
    <mergeCell ref="G306:G307"/>
    <mergeCell ref="H306:H307"/>
    <mergeCell ref="I306:I307"/>
    <mergeCell ref="J306:R306"/>
    <mergeCell ref="S306:S307"/>
    <mergeCell ref="A333:A334"/>
    <mergeCell ref="B333:C333"/>
    <mergeCell ref="D333:D334"/>
    <mergeCell ref="E333:E334"/>
    <mergeCell ref="F333:F334"/>
    <mergeCell ref="G333:G334"/>
    <mergeCell ref="H333:H334"/>
    <mergeCell ref="I333:K333"/>
    <mergeCell ref="L333:N333"/>
    <mergeCell ref="AL348:AL392"/>
    <mergeCell ref="AM348:AM392"/>
    <mergeCell ref="A350:A351"/>
    <mergeCell ref="B350:C350"/>
    <mergeCell ref="D350:D351"/>
    <mergeCell ref="E350:E351"/>
    <mergeCell ref="F350:F351"/>
    <mergeCell ref="G350:G351"/>
    <mergeCell ref="H350:H351"/>
    <mergeCell ref="I350:K350"/>
    <mergeCell ref="Y366:Y412"/>
    <mergeCell ref="Z366:Z412"/>
    <mergeCell ref="A367:A368"/>
    <mergeCell ref="B367:C367"/>
    <mergeCell ref="D367:D368"/>
    <mergeCell ref="E367:E368"/>
    <mergeCell ref="F367:F368"/>
    <mergeCell ref="G367:G368"/>
    <mergeCell ref="H367:H368"/>
    <mergeCell ref="I367:I368"/>
    <mergeCell ref="J367:J368"/>
    <mergeCell ref="K367:K368"/>
    <mergeCell ref="L367:N367"/>
    <mergeCell ref="O367:Q367"/>
    <mergeCell ref="R367:T367"/>
    <mergeCell ref="A385:A386"/>
    <mergeCell ref="B385:D385"/>
    <mergeCell ref="E385:G385"/>
    <mergeCell ref="H385:J385"/>
    <mergeCell ref="AL393:AL427"/>
    <mergeCell ref="AM393:AM427"/>
    <mergeCell ref="A396:A397"/>
    <mergeCell ref="B396:D396"/>
    <mergeCell ref="E396:G396"/>
    <mergeCell ref="H396:J396"/>
    <mergeCell ref="Y413:Y426"/>
    <mergeCell ref="Z413:Z426"/>
    <mergeCell ref="AL428:AL475"/>
    <mergeCell ref="AM428:AM475"/>
    <mergeCell ref="AL476:AL489"/>
    <mergeCell ref="AM476:AM489"/>
  </mergeCells>
  <dataValidations count="24">
    <dataValidation allowBlank="true" errorStyle="stop" operator="between" showDropDown="false" showErrorMessage="true" showInputMessage="false" sqref="A7:A56 A68:A117 A130:A180 A202:A211 A220:A229 A238:A247 A308:A326 A335:A344 A352:A361 A369:A378" type="list">
      <formula1>#REF!</formula1>
      <formula2>0</formula2>
    </dataValidation>
    <dataValidation allowBlank="true" errorStyle="stop" operator="between" showDropDown="false" showErrorMessage="true" showInputMessage="false" sqref="G7:G56 G68:G117 F130:F180 E220:E229 E238:E247 A256:A267 A277:A288 F308:F326 E335:E344 E352:E361 F369:F378 A398:A408" type="list">
      <formula1>#REF!</formula1>
      <formula2>0</formula2>
    </dataValidation>
    <dataValidation allowBlank="true" errorStyle="stop" operator="between" showDropDown="false" showErrorMessage="true" showInputMessage="false" sqref="B7:B56 B68:B117 B130:B180 H308:H326 G335:G344" type="list">
      <formula1>"2,3,4,5,6"</formula1>
      <formula2>0</formula2>
    </dataValidation>
    <dataValidation allowBlank="true" errorStyle="stop" operator="between" showDropDown="false" showErrorMessage="true" showInputMessage="false" sqref="C7:C56 C68:C117 C130:C180 B202:B211 B220:B229 B238:B247 B308:B326 B335:B344 B352:B361 B369:B378" type="list">
      <formula1>#REF!</formula1>
      <formula2>0</formula2>
    </dataValidation>
    <dataValidation allowBlank="true" errorStyle="stop" operator="between" showDropDown="false" showErrorMessage="true" showInputMessage="false" sqref="D7:D56 D68:D117 D130:D180 C202:C211 C220:C229 C238:C247 C308:C326 C335:C344 C352:C361 C369:C378" type="list">
      <formula1>#REF!</formula1>
      <formula2>0</formula2>
    </dataValidation>
    <dataValidation allowBlank="true" errorStyle="stop" operator="between" showDropDown="false" showErrorMessage="true" showInputMessage="false" sqref="E7:E56 E68:E117 E130:E180 D202:D211 D220:D229 D238:D247 D308:D326 D335:D344 D352:D361 D369:D378" type="list">
      <formula1>"Laboral,Pós-Laboral,A distância"</formula1>
      <formula2>0</formula2>
    </dataValidation>
    <dataValidation allowBlank="true" errorStyle="stop" operator="between" showDropDown="false" showErrorMessage="true" showInputMessage="false" sqref="E202:E211 H369:H378" type="list">
      <formula1>#REF!</formula1>
      <formula2>0</formula2>
    </dataValidation>
    <dataValidation allowBlank="true" errorStyle="stop" operator="between" showDropDown="false" showErrorMessage="true" showInputMessage="false" sqref="E369:E378" type="list">
      <formula1>"Moçambicana,Estrangeira"</formula1>
      <formula2>0</formula2>
    </dataValidation>
    <dataValidation allowBlank="true" errorStyle="stop" operator="between" showDropDown="false" showErrorMessage="true" showInputMessage="false" sqref="F7:F56 F68:F117" type="list">
      <formula1>#REF!</formula1>
      <formula2>0</formula2>
    </dataValidation>
    <dataValidation allowBlank="true" errorStyle="stop" operator="between" showDropDown="false" showErrorMessage="true" showInputMessage="false" sqref="I7:I56 I68:I117 H130:H180 F202:F211 G220:G229 G238:G247 I308:I326 G352:G361 K369:K378" type="list">
      <formula1>#REF!</formula1>
      <formula2>0</formula2>
    </dataValidation>
    <dataValidation allowBlank="true" errorStyle="stop" operator="between" showDropDown="false" showErrorMessage="true" showInputMessage="false" sqref="H7:H56 H68:H117 G130:G179 F220:F229 F238:F247 G308:G326 F335:F344 F352:F361 G369:G378" type="list">
      <formula1>#REF!</formula1>
      <formula2>0</formula2>
    </dataValidation>
    <dataValidation allowBlank="true" errorStyle="stop" operator="between" showDropDown="false" showErrorMessage="true" showInputMessage="false" sqref="H335:H344" type="list">
      <formula1>#REF!</formula1>
      <formula2>0</formula2>
    </dataValidation>
    <dataValidation allowBlank="true" errorStyle="stop" operator="between" showDropDown="false" showErrorMessage="true" showInputMessage="false" sqref="H352:H361" type="list">
      <formula1>#REF!</formula1>
      <formula2>0</formula2>
    </dataValidation>
    <dataValidation allowBlank="true" errorStyle="stop" operator="between" showDropDown="false" showErrorMessage="true" showInputMessage="false" sqref="I369:I378" type="list">
      <formula1>"Completa,Parcial,Reduzida"</formula1>
      <formula2>0</formula2>
    </dataValidation>
    <dataValidation allowBlank="true" errorStyle="stop" operator="between" showDropDown="false" showErrorMessage="true" showInputMessage="false" sqref="J369:J378" type="list">
      <formula1>"OGE,Receitas Proprias,Empréstimo,Doação"</formula1>
      <formula2>0</formula2>
    </dataValidation>
    <dataValidation allowBlank="true" error="Ultrapassou&#10;" errorStyle="stop" errorTitle="Erro" operator="between" showDropDown="false" showErrorMessage="true" showInputMessage="false" sqref="N202" type="custom">
      <formula1>SUM(#REF!)&gt;#REF!</formula1>
      <formula2>0</formula2>
    </dataValidation>
    <dataValidation allowBlank="true" error="Ultrapassou&#10;" errorStyle="stop" errorTitle="Erro" operator="between" showDropDown="false" showErrorMessage="true" showInputMessage="false" sqref="N203 N206" type="custom">
      <formula1>SUM(#REF!)&gt;#REF!</formula1>
      <formula2>0</formula2>
    </dataValidation>
    <dataValidation allowBlank="true" error="Ultrapassou&#10;" errorStyle="stop" errorTitle="Erro" operator="between" showDropDown="false" showErrorMessage="true" showInputMessage="false" sqref="N204:N205" type="custom">
      <formula1>SUM(#REF!)&gt;#REF!</formula1>
      <formula2>0</formula2>
    </dataValidation>
    <dataValidation allowBlank="true" error="Ultrapassou&#10;" errorStyle="stop" errorTitle="Erro" operator="between" showDropDown="false" showErrorMessage="true" showInputMessage="false" sqref="N207:N208" type="custom">
      <formula1>SUM(#REF!)&gt;#REF!</formula1>
      <formula2>0</formula2>
    </dataValidation>
    <dataValidation allowBlank="true" error="Ultrapassou&#10;" errorStyle="stop" errorTitle="Erro" operator="between" showDropDown="false" showErrorMessage="true" showInputMessage="false" sqref="N209" type="custom">
      <formula1>SUM(#REF!)&gt;#REF!</formula1>
      <formula2>0</formula2>
    </dataValidation>
    <dataValidation allowBlank="true" error="Ultrapassou&#10;" errorStyle="stop" errorTitle="Erro" operator="between" showDropDown="false" showErrorMessage="true" showInputMessage="false" sqref="N210" type="custom">
      <formula1>SUM(#REF!)&gt;#REF!</formula1>
      <formula2>0</formula2>
    </dataValidation>
    <dataValidation allowBlank="true" error="Ultrapassou&#10;" errorStyle="stop" errorTitle="Erro" operator="between" showDropDown="false" showErrorMessage="true" showInputMessage="false" sqref="N211" type="custom">
      <formula1>SUM(#REF!)&gt;#REF!</formula1>
      <formula2>0</formula2>
    </dataValidation>
    <dataValidation allowBlank="true" error="Chega Mesmo" errorStyle="stop" errorTitle="Chega" operator="between" showDropDown="false" showErrorMessage="true" showInputMessage="false" sqref="N214" type="custom">
      <formula1>SUM(#REF!)&lt;#REF!</formula1>
      <formula2>0</formula2>
    </dataValidation>
    <dataValidation allowBlank="true" error="O valor digitado não Confere com o inicialmente calculado. Verifique e volte a digitar" errorStyle="stop" errorTitle="Controle de Entrada de Dados" operator="between" showDropDown="false" showErrorMessage="true" showInputMessage="false" sqref="T202" type="custom">
      <formula1>"V44=V43"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LibreOffice/24.8.4.2$Linux_X86_64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2026-06-14T21:46:05Z</dcterms:created>
  <dc:creator>Elidio Silva</dc:creator>
  <dc:description/>
  <dc:language>en-US</dc:language>
  <cp:lastModifiedBy>Elidio Silva</cp:lastModifiedBy>
  <dcterms:modified xsi:type="dcterms:W3CDTF">2026-06-14T21:47:09Z</dcterms:modified>
  <cp:revision>1</cp:revision>
  <dc:subject/>
  <dc:title/>
</cp:coreProperties>
</file>